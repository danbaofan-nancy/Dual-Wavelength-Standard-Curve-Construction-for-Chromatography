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nancy/MyUniversity/⭐️2025-2026:2/生化实验/自选实验/column_chromatography/"/>
    </mc:Choice>
  </mc:AlternateContent>
  <xr:revisionPtr revIDLastSave="0" documentId="13_ncr:1_{7C09194E-0741-B846-AC7B-210E6F75B4A8}" xr6:coauthVersionLast="47" xr6:coauthVersionMax="47" xr10:uidLastSave="{00000000-0000-0000-0000-000000000000}"/>
  <bookViews>
    <workbookView xWindow="0" yWindow="660" windowWidth="30240" windowHeight="17400" activeTab="5" xr2:uid="{00000000-000D-0000-FFFF-FFFF00000000}"/>
  </bookViews>
  <sheets>
    <sheet name="洗脱液吸光值" sheetId="4" r:id="rId1"/>
    <sheet name="原始记录_洗脱液吸光值 " sheetId="7" r:id="rId2"/>
    <sheet name="cytc标准曲线" sheetId="6" r:id="rId3"/>
    <sheet name="核黄素磷酸钠标准曲线" sheetId="2" r:id="rId4"/>
    <sheet name="不同配比母液吸光值" sheetId="5" r:id="rId5"/>
    <sheet name="双波长法合理性检验" sheetId="8" r:id="rId6"/>
    <sheet name="一个孔内液体体积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 a="1"/>
  <c r="E2" i="8" s="1"/>
  <c r="B7" i="3"/>
  <c r="C2" i="6"/>
  <c r="D2" i="6"/>
  <c r="E2" i="6"/>
  <c r="F2" i="6"/>
  <c r="G2" i="6"/>
  <c r="H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<sst xmlns="http://schemas.openxmlformats.org/spreadsheetml/2006/main" count="347" uniqueCount="195">
  <si>
    <t>cytc</t>
    <phoneticPr fontId="1" type="noConversion"/>
  </si>
  <si>
    <t>核黄素磷酸钠</t>
    <phoneticPr fontId="1" type="noConversion"/>
  </si>
  <si>
    <t/>
  </si>
  <si>
    <t>002</t>
  </si>
  <si>
    <t>001</t>
  </si>
  <si>
    <t>B 01</t>
  </si>
  <si>
    <t>A444</t>
  </si>
  <si>
    <t>A408</t>
  </si>
  <si>
    <t>μL</t>
  </si>
  <si>
    <t>A</t>
  </si>
  <si>
    <t>λ 2</t>
  </si>
  <si>
    <t>λ 1</t>
  </si>
  <si>
    <t>Dilution</t>
  </si>
  <si>
    <t>Flag</t>
  </si>
  <si>
    <t>Result</t>
  </si>
  <si>
    <t>Sample ID</t>
  </si>
  <si>
    <t>Sample #</t>
  </si>
  <si>
    <t>Time</t>
  </si>
  <si>
    <r>
      <rPr>
        <sz val="10"/>
        <rFont val="Microsoft YaHei"/>
        <family val="2"/>
        <charset val="134"/>
      </rPr>
      <t>体积</t>
    </r>
    <r>
      <rPr>
        <sz val="11"/>
        <color theme="1"/>
        <rFont val="宋体"/>
        <family val="3"/>
        <charset val="134"/>
        <scheme val="minor"/>
      </rPr>
      <t>1:1</t>
    </r>
    <r>
      <rPr>
        <sz val="10"/>
        <rFont val="Microsoft YaHei"/>
        <family val="2"/>
        <charset val="134"/>
      </rPr>
      <t>，稀释</t>
    </r>
    <r>
      <rPr>
        <sz val="11"/>
        <color theme="1"/>
        <rFont val="宋体"/>
        <family val="3"/>
        <charset val="134"/>
        <scheme val="minor"/>
      </rPr>
      <t>100</t>
    </r>
    <r>
      <rPr>
        <sz val="10"/>
        <rFont val="Microsoft YaHei"/>
        <family val="2"/>
        <charset val="134"/>
      </rPr>
      <t>倍</t>
    </r>
    <phoneticPr fontId="6" type="noConversion"/>
  </si>
  <si>
    <t>18:37</t>
  </si>
  <si>
    <r>
      <rPr>
        <sz val="10"/>
        <rFont val="Microsoft YaHei"/>
        <family val="2"/>
        <charset val="134"/>
      </rPr>
      <t>体积</t>
    </r>
    <r>
      <rPr>
        <sz val="10"/>
        <rFont val="Arial"/>
        <family val="2"/>
      </rPr>
      <t>1:1</t>
    </r>
    <r>
      <rPr>
        <sz val="10"/>
        <rFont val="Microsoft YaHei"/>
        <family val="2"/>
        <charset val="134"/>
      </rPr>
      <t>，未稀释</t>
    </r>
    <phoneticPr fontId="6" type="noConversion"/>
  </si>
  <si>
    <t>----</t>
  </si>
  <si>
    <t>Some absorbance values
for secondary wavelengths
are too high and cannot
be displayed.</t>
  </si>
  <si>
    <t>18:36</t>
  </si>
  <si>
    <t>18:33</t>
  </si>
  <si>
    <t>第二次测</t>
    <phoneticPr fontId="1" type="noConversion"/>
  </si>
  <si>
    <t>一个孔内8滴液体体积</t>
    <phoneticPr fontId="1" type="noConversion"/>
  </si>
  <si>
    <t>平均值</t>
    <phoneticPr fontId="1" type="noConversion"/>
  </si>
  <si>
    <t>柱长</t>
    <phoneticPr fontId="1" type="noConversion"/>
  </si>
  <si>
    <t>15.3 cm</t>
    <phoneticPr fontId="1" type="noConversion"/>
  </si>
  <si>
    <t>出现目标之前的洗脱液体积</t>
    <phoneticPr fontId="1" type="noConversion"/>
  </si>
  <si>
    <t>浓度 mg/mL</t>
    <phoneticPr fontId="1" type="noConversion"/>
  </si>
  <si>
    <t>吸光值A408</t>
    <phoneticPr fontId="1" type="noConversion"/>
  </si>
  <si>
    <t>吸光值A444</t>
    <phoneticPr fontId="1" type="noConversion"/>
  </si>
  <si>
    <t>第一次测</t>
    <phoneticPr fontId="1" type="noConversion"/>
  </si>
  <si>
    <t>分子量</t>
    <phoneticPr fontId="1" type="noConversion"/>
  </si>
  <si>
    <t>12400 g/mol</t>
    <phoneticPr fontId="1" type="noConversion"/>
  </si>
  <si>
    <t>ε408</t>
    <phoneticPr fontId="1" type="noConversion"/>
  </si>
  <si>
    <t>ε444</t>
    <phoneticPr fontId="1" type="noConversion"/>
  </si>
  <si>
    <t>478.33 g/mol</t>
    <phoneticPr fontId="1" type="noConversion"/>
  </si>
  <si>
    <t>A408</t>
    <phoneticPr fontId="1" type="noConversion"/>
  </si>
  <si>
    <t>A444</t>
    <phoneticPr fontId="1" type="noConversion"/>
  </si>
  <si>
    <t>V</t>
    <phoneticPr fontId="1" type="noConversion"/>
  </si>
  <si>
    <t>074</t>
  </si>
  <si>
    <t>18:12</t>
  </si>
  <si>
    <t>073</t>
  </si>
  <si>
    <t>18:11</t>
  </si>
  <si>
    <t>072</t>
  </si>
  <si>
    <t>071</t>
  </si>
  <si>
    <t>18:10</t>
  </si>
  <si>
    <t>070</t>
  </si>
  <si>
    <t>18:09</t>
  </si>
  <si>
    <t>069</t>
  </si>
  <si>
    <t>068</t>
  </si>
  <si>
    <t>18:08</t>
  </si>
  <si>
    <t>异常值</t>
    <phoneticPr fontId="0" type="noConversion"/>
  </si>
  <si>
    <t>067</t>
  </si>
  <si>
    <t>18:07</t>
  </si>
  <si>
    <t>066</t>
  </si>
  <si>
    <t>18:06</t>
  </si>
  <si>
    <t>065</t>
  </si>
  <si>
    <t>18:04</t>
  </si>
  <si>
    <t>064</t>
  </si>
  <si>
    <t>063</t>
  </si>
  <si>
    <t>18:03</t>
  </si>
  <si>
    <t>062</t>
  </si>
  <si>
    <t>18:02</t>
  </si>
  <si>
    <t>061</t>
  </si>
  <si>
    <t>18:01</t>
  </si>
  <si>
    <t>060</t>
  </si>
  <si>
    <t>18:00</t>
  </si>
  <si>
    <t>059</t>
  </si>
  <si>
    <t>17:59</t>
  </si>
  <si>
    <t>058</t>
  </si>
  <si>
    <t>17:58</t>
  </si>
  <si>
    <t>057</t>
  </si>
  <si>
    <t>056</t>
  </si>
  <si>
    <t>17:57</t>
  </si>
  <si>
    <t>055</t>
  </si>
  <si>
    <t>054</t>
  </si>
  <si>
    <t>17:56</t>
  </si>
  <si>
    <t>053</t>
  </si>
  <si>
    <t>17:55</t>
  </si>
  <si>
    <t>052</t>
  </si>
  <si>
    <t>17:54</t>
  </si>
  <si>
    <t>051</t>
  </si>
  <si>
    <t>050</t>
  </si>
  <si>
    <t>17:53</t>
  </si>
  <si>
    <t>049</t>
  </si>
  <si>
    <t>048</t>
  </si>
  <si>
    <t>17:52</t>
  </si>
  <si>
    <t>047</t>
  </si>
  <si>
    <t>17:51</t>
  </si>
  <si>
    <t>046</t>
  </si>
  <si>
    <t>17:50</t>
  </si>
  <si>
    <t>045</t>
  </si>
  <si>
    <t>044</t>
  </si>
  <si>
    <t>17:49</t>
  </si>
  <si>
    <t>043</t>
  </si>
  <si>
    <t>17:48</t>
  </si>
  <si>
    <t>042</t>
  </si>
  <si>
    <t>041</t>
  </si>
  <si>
    <t>17:47</t>
  </si>
  <si>
    <t>040</t>
  </si>
  <si>
    <t>17:46</t>
  </si>
  <si>
    <t>039</t>
  </si>
  <si>
    <t>17:45</t>
  </si>
  <si>
    <t>038</t>
  </si>
  <si>
    <t>17:44</t>
  </si>
  <si>
    <t>037</t>
  </si>
  <si>
    <t>17:43</t>
  </si>
  <si>
    <t>036</t>
  </si>
  <si>
    <t>17:42</t>
  </si>
  <si>
    <t>035</t>
  </si>
  <si>
    <t>034</t>
  </si>
  <si>
    <t>17:41</t>
  </si>
  <si>
    <t>033</t>
  </si>
  <si>
    <t>032</t>
  </si>
  <si>
    <t>17:40</t>
  </si>
  <si>
    <t>031</t>
  </si>
  <si>
    <t>17:39</t>
  </si>
  <si>
    <t>030</t>
  </si>
  <si>
    <t>029</t>
  </si>
  <si>
    <t>17:38</t>
  </si>
  <si>
    <t>028</t>
  </si>
  <si>
    <t>17:37</t>
  </si>
  <si>
    <t>027</t>
  </si>
  <si>
    <t>026</t>
  </si>
  <si>
    <t>17:36</t>
  </si>
  <si>
    <t>025</t>
  </si>
  <si>
    <t>17:35</t>
  </si>
  <si>
    <t>024</t>
  </si>
  <si>
    <t>023</t>
  </si>
  <si>
    <t>17:34</t>
  </si>
  <si>
    <t>022</t>
  </si>
  <si>
    <t>021</t>
  </si>
  <si>
    <t>17:33</t>
  </si>
  <si>
    <t>020</t>
  </si>
  <si>
    <t>17:32</t>
  </si>
  <si>
    <t>019</t>
  </si>
  <si>
    <t>17:31</t>
  </si>
  <si>
    <t>018</t>
  </si>
  <si>
    <t>017</t>
  </si>
  <si>
    <t>17:30</t>
  </si>
  <si>
    <t>016</t>
  </si>
  <si>
    <t>015</t>
  </si>
  <si>
    <t>17:29</t>
  </si>
  <si>
    <t>014</t>
  </si>
  <si>
    <t>17:28</t>
  </si>
  <si>
    <t>013</t>
  </si>
  <si>
    <t>17:27</t>
  </si>
  <si>
    <t>012</t>
  </si>
  <si>
    <t>17:26</t>
  </si>
  <si>
    <t>011</t>
  </si>
  <si>
    <t>010</t>
  </si>
  <si>
    <t>17:25</t>
  </si>
  <si>
    <t>009</t>
  </si>
  <si>
    <t>17:24</t>
  </si>
  <si>
    <t>008</t>
  </si>
  <si>
    <t>17:23</t>
  </si>
  <si>
    <t>007</t>
  </si>
  <si>
    <t>006</t>
  </si>
  <si>
    <t>17:22</t>
  </si>
  <si>
    <t>005</t>
  </si>
  <si>
    <t>17:21</t>
  </si>
  <si>
    <t>004</t>
  </si>
  <si>
    <t>17:20</t>
  </si>
  <si>
    <t>003</t>
  </si>
  <si>
    <t>17:18</t>
  </si>
  <si>
    <t>blank</t>
    <phoneticPr fontId="0" type="noConversion"/>
  </si>
  <si>
    <t>17:16</t>
  </si>
  <si>
    <t>B 02</t>
  </si>
  <si>
    <t>16:49</t>
  </si>
  <si>
    <t>Multi λ 2026-05-22 16:49:09</t>
  </si>
  <si>
    <t>4.3.1.0</t>
  </si>
  <si>
    <t>Software # :</t>
  </si>
  <si>
    <t>6136GK203581</t>
  </si>
  <si>
    <t>Device # :</t>
  </si>
  <si>
    <t>Eppendorf BioSpectrometer kinetic</t>
  </si>
  <si>
    <t>cyct</t>
    <phoneticPr fontId="1" type="noConversion"/>
  </si>
  <si>
    <t>FMN</t>
    <phoneticPr fontId="1" type="noConversion"/>
  </si>
  <si>
    <t>混合液80 µL</t>
    <phoneticPr fontId="1" type="noConversion"/>
  </si>
  <si>
    <t>10 mg/mL</t>
    <phoneticPr fontId="1" type="noConversion"/>
  </si>
  <si>
    <t>1 mg/mL</t>
    <phoneticPr fontId="1" type="noConversion"/>
  </si>
  <si>
    <t>母液</t>
    <phoneticPr fontId="1" type="noConversion"/>
  </si>
  <si>
    <t>20 mg/mL</t>
    <phoneticPr fontId="1" type="noConversion"/>
  </si>
  <si>
    <t>2 mg/mL</t>
    <phoneticPr fontId="1" type="noConversion"/>
  </si>
  <si>
    <r>
      <rPr>
        <sz val="10"/>
        <rFont val="Microsoft YaHei"/>
        <family val="2"/>
        <charset val="134"/>
      </rPr>
      <t>体积</t>
    </r>
    <r>
      <rPr>
        <sz val="11"/>
        <color theme="1"/>
        <rFont val="宋体"/>
        <family val="3"/>
        <charset val="134"/>
        <scheme val="minor"/>
      </rPr>
      <t>C:F =1:2,</t>
    </r>
    <r>
      <rPr>
        <sz val="10"/>
        <rFont val="Microsoft YaHei"/>
        <family val="2"/>
        <charset val="134"/>
      </rPr>
      <t>稀释</t>
    </r>
    <r>
      <rPr>
        <sz val="11"/>
        <color theme="1"/>
        <rFont val="宋体"/>
        <family val="3"/>
        <charset val="134"/>
        <scheme val="minor"/>
      </rPr>
      <t>100</t>
    </r>
    <r>
      <rPr>
        <sz val="10"/>
        <rFont val="Microsoft YaHei"/>
        <family val="2"/>
        <charset val="134"/>
      </rPr>
      <t>倍</t>
    </r>
    <phoneticPr fontId="6" type="noConversion"/>
  </si>
  <si>
    <r>
      <rPr>
        <sz val="10"/>
        <rFont val="Microsoft YaHei"/>
        <family val="2"/>
        <charset val="134"/>
      </rPr>
      <t>体积</t>
    </r>
    <r>
      <rPr>
        <sz val="10"/>
        <rFont val="Arial"/>
        <family val="2"/>
      </rPr>
      <t>C:F =2:1,</t>
    </r>
    <r>
      <rPr>
        <sz val="10"/>
        <rFont val="Microsoft YaHei"/>
        <family val="2"/>
        <charset val="134"/>
      </rPr>
      <t>稀释</t>
    </r>
    <r>
      <rPr>
        <sz val="10"/>
        <rFont val="Arial"/>
        <family val="2"/>
      </rPr>
      <t>100</t>
    </r>
    <r>
      <rPr>
        <sz val="10"/>
        <rFont val="Microsoft YaHei"/>
        <family val="2"/>
        <charset val="134"/>
      </rPr>
      <t>倍</t>
    </r>
    <phoneticPr fontId="6" type="noConversion"/>
  </si>
  <si>
    <t>理论浓度 mg/mL</t>
  </si>
  <si>
    <t>双波长法计算所得浓度 mg/mL</t>
  </si>
  <si>
    <t>C:F=1:1</t>
  </si>
  <si>
    <t>C:F=1:2</t>
  </si>
  <si>
    <t>C:F=2:1</t>
  </si>
  <si>
    <t>cyt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</si>
</sst>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9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0"/>
      <name val="Microsoft YaHei"/>
      <family val="2"/>
      <charset val="134"/>
    </font>
    <font>
      <sz val="10"/>
      <name val="Arial"/>
      <family val="2"/>
      <charset val="134"/>
    </font>
    <font>
      <sz val="9"/>
      <name val="FangSong"/>
      <family val="3"/>
      <charset val="134"/>
    </font>
    <font>
      <b/>
      <i/>
      <sz val="1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/>
    <xf numFmtId="176" fontId="3" fillId="0" borderId="0" xfId="1" applyNumberFormat="1" applyAlignment="1">
      <alignment horizontal="right"/>
    </xf>
    <xf numFmtId="49" fontId="3" fillId="0" borderId="0" xfId="1" applyNumberFormat="1" applyAlignment="1">
      <alignment horizontal="right"/>
    </xf>
    <xf numFmtId="49" fontId="3" fillId="0" borderId="0" xfId="1" applyNumberFormat="1" applyAlignment="1">
      <alignment horizontal="right" wrapText="1"/>
    </xf>
    <xf numFmtId="49" fontId="3" fillId="0" borderId="0" xfId="1" applyNumberFormat="1" applyAlignment="1">
      <alignment horizontal="left"/>
    </xf>
    <xf numFmtId="49" fontId="3" fillId="0" borderId="0" xfId="1" applyNumberFormat="1" applyAlignment="1">
      <alignment horizontal="center"/>
    </xf>
    <xf numFmtId="0" fontId="3" fillId="0" borderId="0" xfId="1" applyAlignment="1">
      <alignment horizontal="left"/>
    </xf>
    <xf numFmtId="0" fontId="5" fillId="0" borderId="0" xfId="1" applyFont="1" applyAlignment="1">
      <alignment horizontal="left"/>
    </xf>
    <xf numFmtId="49" fontId="5" fillId="0" borderId="0" xfId="1" applyNumberFormat="1" applyFont="1" applyAlignment="1">
      <alignment horizontal="left"/>
    </xf>
    <xf numFmtId="49" fontId="3" fillId="0" borderId="0" xfId="1" applyNumberFormat="1" applyAlignment="1">
      <alignment wrapText="1"/>
    </xf>
    <xf numFmtId="0" fontId="2" fillId="0" borderId="0" xfId="2">
      <alignment vertical="center"/>
    </xf>
    <xf numFmtId="0" fontId="4" fillId="0" borderId="0" xfId="1" applyFont="1"/>
    <xf numFmtId="49" fontId="3" fillId="0" borderId="0" xfId="1" applyNumberFormat="1" applyAlignment="1">
      <alignment horizontal="center" wrapText="1"/>
    </xf>
    <xf numFmtId="49" fontId="7" fillId="0" borderId="0" xfId="1" applyNumberFormat="1" applyFont="1"/>
    <xf numFmtId="14" fontId="3" fillId="0" borderId="0" xfId="1" applyNumberFormat="1" applyAlignment="1">
      <alignment horizontal="left"/>
    </xf>
    <xf numFmtId="49" fontId="3" fillId="0" borderId="0" xfId="1" applyNumberFormat="1"/>
    <xf numFmtId="49" fontId="4" fillId="2" borderId="0" xfId="1" applyNumberFormat="1" applyFont="1" applyFill="1" applyAlignment="1">
      <alignment horizontal="right"/>
    </xf>
    <xf numFmtId="49" fontId="3" fillId="2" borderId="0" xfId="1" applyNumberFormat="1" applyFill="1" applyAlignment="1">
      <alignment horizontal="right"/>
    </xf>
    <xf numFmtId="49" fontId="3" fillId="2" borderId="0" xfId="1" applyNumberFormat="1" applyFill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/>
  </cellXfs>
  <cellStyles count="3">
    <cellStyle name="常规" xfId="0" builtinId="0"/>
    <cellStyle name="常规 2" xfId="1" xr:uid="{B49F4850-BAE9-7246-B42F-E13E26152AD1}"/>
    <cellStyle name="常规 3" xfId="2" xr:uid="{E4912968-233C-CD49-84A5-F28D51C07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A408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784339457567806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cytc标准曲线!$B$2:$H$2</c:f>
              <c:numCache>
                <c:formatCode>General</c:formatCode>
                <c:ptCount val="7"/>
                <c:pt idx="0">
                  <c:v>0</c:v>
                </c:pt>
                <c:pt idx="1">
                  <c:v>3.3333333333333333E-2</c:v>
                </c:pt>
                <c:pt idx="2">
                  <c:v>8.3333333333333329E-2</c:v>
                </c:pt>
                <c:pt idx="3">
                  <c:v>0.16666666666666666</c:v>
                </c:pt>
                <c:pt idx="4">
                  <c:v>0.19999999999999998</c:v>
                </c:pt>
                <c:pt idx="5">
                  <c:v>0.26666666666666666</c:v>
                </c:pt>
                <c:pt idx="6">
                  <c:v>0.33333333333333331</c:v>
                </c:pt>
              </c:numCache>
            </c:numRef>
          </c:xVal>
          <c:yVal>
            <c:numRef>
              <c:f>cytc标准曲线!$B$3:$H$3</c:f>
              <c:numCache>
                <c:formatCode>General</c:formatCode>
                <c:ptCount val="7"/>
                <c:pt idx="0">
                  <c:v>1E-4</c:v>
                </c:pt>
                <c:pt idx="1">
                  <c:v>0.37</c:v>
                </c:pt>
                <c:pt idx="2">
                  <c:v>0.58599999999999997</c:v>
                </c:pt>
                <c:pt idx="3">
                  <c:v>1.2709999999999999</c:v>
                </c:pt>
                <c:pt idx="4">
                  <c:v>1.431</c:v>
                </c:pt>
                <c:pt idx="5">
                  <c:v>1.917</c:v>
                </c:pt>
                <c:pt idx="6">
                  <c:v>2.3109999999999999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4F-7144-B411-111377EBB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773264"/>
        <c:axId val="412574576"/>
      </c:scatterChart>
      <c:valAx>
        <c:axId val="20647732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2574576"/>
        <c:crosses val="autoZero"/>
        <c:crossBetween val="midCat"/>
      </c:valAx>
      <c:valAx>
        <c:axId val="4125745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477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0762e48-1631-4f86-9782-1fd3b954f8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A444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424925332609286"/>
                  <c:y val="-2.3098571011956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cytc标准曲线!$B$2:$H$2</c:f>
              <c:numCache>
                <c:formatCode>General</c:formatCode>
                <c:ptCount val="7"/>
                <c:pt idx="0">
                  <c:v>0</c:v>
                </c:pt>
                <c:pt idx="1">
                  <c:v>3.3333333333333333E-2</c:v>
                </c:pt>
                <c:pt idx="2">
                  <c:v>8.3333333333333329E-2</c:v>
                </c:pt>
                <c:pt idx="3">
                  <c:v>0.16666666666666666</c:v>
                </c:pt>
                <c:pt idx="4">
                  <c:v>0.19999999999999998</c:v>
                </c:pt>
                <c:pt idx="5">
                  <c:v>0.26666666666666666</c:v>
                </c:pt>
                <c:pt idx="6">
                  <c:v>0.33333333333333331</c:v>
                </c:pt>
              </c:numCache>
            </c:numRef>
          </c:xVal>
          <c:yVal>
            <c:numRef>
              <c:f>cytc标准曲线!$B$4:$H$4</c:f>
              <c:numCache>
                <c:formatCode>General</c:formatCode>
                <c:ptCount val="7"/>
                <c:pt idx="0">
                  <c:v>-1E-4</c:v>
                </c:pt>
                <c:pt idx="1">
                  <c:v>5.0999999999999997E-2</c:v>
                </c:pt>
                <c:pt idx="2">
                  <c:v>8.5000000000000006E-2</c:v>
                </c:pt>
                <c:pt idx="3">
                  <c:v>0.185</c:v>
                </c:pt>
                <c:pt idx="4">
                  <c:v>0.20799999999999999</c:v>
                </c:pt>
                <c:pt idx="5">
                  <c:v>0.27800000000000002</c:v>
                </c:pt>
                <c:pt idx="6">
                  <c:v>0.33200000000000002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C0-C74C-A1D9-112191F26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013248"/>
        <c:axId val="578308656"/>
      </c:scatterChart>
      <c:valAx>
        <c:axId val="41901324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8308656"/>
        <c:crosses val="autoZero"/>
        <c:crossBetween val="midCat"/>
      </c:valAx>
      <c:valAx>
        <c:axId val="5783086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901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7e80ca9-2956-441a-b61e-7e8166b48b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A408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470218122748087"/>
                  <c:y val="-1.00361510152797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核黄素磷酸钠标准曲线!$B$2:$H$2</c:f>
              <c:numCache>
                <c:formatCode>General</c:formatCode>
                <c:ptCount val="7"/>
                <c:pt idx="0">
                  <c:v>0</c:v>
                </c:pt>
                <c:pt idx="1">
                  <c:v>0.01</c:v>
                </c:pt>
                <c:pt idx="2">
                  <c:v>1.7000000000000001E-2</c:v>
                </c:pt>
                <c:pt idx="3">
                  <c:v>3.3000000000000002E-2</c:v>
                </c:pt>
                <c:pt idx="4">
                  <c:v>0.05</c:v>
                </c:pt>
                <c:pt idx="5">
                  <c:v>6.7000000000000004E-2</c:v>
                </c:pt>
                <c:pt idx="6">
                  <c:v>8.3000000000000004E-2</c:v>
                </c:pt>
              </c:numCache>
            </c:numRef>
          </c:xVal>
          <c:yVal>
            <c:numRef>
              <c:f>核黄素磷酸钠标准曲线!$B$3:$H$3</c:f>
              <c:numCache>
                <c:formatCode>General</c:formatCode>
                <c:ptCount val="7"/>
                <c:pt idx="0">
                  <c:v>0</c:v>
                </c:pt>
                <c:pt idx="1">
                  <c:v>0.20899999999999999</c:v>
                </c:pt>
                <c:pt idx="2">
                  <c:v>0.38700000000000001</c:v>
                </c:pt>
                <c:pt idx="3">
                  <c:v>0.79600000000000004</c:v>
                </c:pt>
                <c:pt idx="4">
                  <c:v>1.228</c:v>
                </c:pt>
                <c:pt idx="5">
                  <c:v>1.4810000000000001</c:v>
                </c:pt>
                <c:pt idx="6">
                  <c:v>1.726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B-4D8B-BE53-7E5BCEDF3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346384"/>
        <c:axId val="585345424"/>
      </c:scatterChart>
      <c:valAx>
        <c:axId val="58534638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5345424"/>
        <c:crosses val="autoZero"/>
        <c:crossBetween val="midCat"/>
      </c:valAx>
      <c:valAx>
        <c:axId val="5853454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53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A444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81771450019895"/>
                  <c:y val="-5.23416488356696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核黄素磷酸钠标准曲线!$B$2:$H$2</c:f>
              <c:numCache>
                <c:formatCode>General</c:formatCode>
                <c:ptCount val="7"/>
                <c:pt idx="0">
                  <c:v>0</c:v>
                </c:pt>
                <c:pt idx="1">
                  <c:v>0.01</c:v>
                </c:pt>
                <c:pt idx="2">
                  <c:v>1.7000000000000001E-2</c:v>
                </c:pt>
                <c:pt idx="3">
                  <c:v>3.3000000000000002E-2</c:v>
                </c:pt>
                <c:pt idx="4">
                  <c:v>0.05</c:v>
                </c:pt>
                <c:pt idx="5">
                  <c:v>6.7000000000000004E-2</c:v>
                </c:pt>
                <c:pt idx="6">
                  <c:v>8.3000000000000004E-2</c:v>
                </c:pt>
              </c:numCache>
            </c:numRef>
          </c:xVal>
          <c:yVal>
            <c:numRef>
              <c:f>核黄素磷酸钠标准曲线!$B$4:$H$4</c:f>
              <c:numCache>
                <c:formatCode>General</c:formatCode>
                <c:ptCount val="7"/>
                <c:pt idx="0">
                  <c:v>0</c:v>
                </c:pt>
                <c:pt idx="1">
                  <c:v>0.32500000000000001</c:v>
                </c:pt>
                <c:pt idx="2">
                  <c:v>0.57399999999999995</c:v>
                </c:pt>
                <c:pt idx="3">
                  <c:v>1.21</c:v>
                </c:pt>
                <c:pt idx="4">
                  <c:v>1.92</c:v>
                </c:pt>
                <c:pt idx="5">
                  <c:v>2.3119999999999998</c:v>
                </c:pt>
                <c:pt idx="6">
                  <c:v>2.6989999999999998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A5-45FF-9572-9CCEB3BC7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566592"/>
        <c:axId val="579567072"/>
      </c:scatterChart>
      <c:valAx>
        <c:axId val="57956659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9567072"/>
        <c:crosses val="autoZero"/>
        <c:crossBetween val="midCat"/>
      </c:valAx>
      <c:valAx>
        <c:axId val="5795670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95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r>
              <a:rPr lang="zh-CN" altLang="en-US"/>
              <a:t> </a:t>
            </a:r>
            <a:r>
              <a:rPr lang="en-US" altLang="zh-CN"/>
              <a:t>408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687051005864303"/>
                  <c:y val="-5.55513766995345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核黄素磷酸钠标准曲线!$B$26:$G$26</c:f>
              <c:numCache>
                <c:formatCode>General</c:formatCode>
                <c:ptCount val="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0.04</c:v>
                </c:pt>
                <c:pt idx="5">
                  <c:v>0.05</c:v>
                </c:pt>
              </c:numCache>
            </c:numRef>
          </c:xVal>
          <c:yVal>
            <c:numRef>
              <c:f>核黄素磷酸钠标准曲线!$B$27:$G$27</c:f>
              <c:numCache>
                <c:formatCode>General</c:formatCode>
                <c:ptCount val="6"/>
                <c:pt idx="0">
                  <c:v>0</c:v>
                </c:pt>
                <c:pt idx="1">
                  <c:v>0.248</c:v>
                </c:pt>
                <c:pt idx="2">
                  <c:v>0.41699999999999998</c:v>
                </c:pt>
                <c:pt idx="3">
                  <c:v>0.58199999999999996</c:v>
                </c:pt>
                <c:pt idx="4">
                  <c:v>0.85599999999999998</c:v>
                </c:pt>
                <c:pt idx="5">
                  <c:v>1.171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74-FC48-A386-691851733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463168"/>
        <c:axId val="1856457344"/>
      </c:scatterChart>
      <c:valAx>
        <c:axId val="185646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6457344"/>
        <c:crosses val="autoZero"/>
        <c:crossBetween val="midCat"/>
      </c:valAx>
      <c:valAx>
        <c:axId val="185645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646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r>
              <a:rPr lang="zh-CN" altLang="en-US"/>
              <a:t> </a:t>
            </a:r>
            <a:r>
              <a:rPr lang="en-US" altLang="zh-CN"/>
              <a:t>444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168657042869641"/>
                  <c:y val="-9.56444169968949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核黄素磷酸钠标准曲线!$B$26:$F$26</c:f>
              <c:numCache>
                <c:formatCode>General</c:formatCode>
                <c:ptCount val="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0.04</c:v>
                </c:pt>
              </c:numCache>
            </c:numRef>
          </c:xVal>
          <c:yVal>
            <c:numRef>
              <c:f>核黄素磷酸钠标准曲线!$B$28:$F$28</c:f>
              <c:numCache>
                <c:formatCode>General</c:formatCode>
                <c:ptCount val="5"/>
                <c:pt idx="0">
                  <c:v>0</c:v>
                </c:pt>
                <c:pt idx="1">
                  <c:v>0.48099999999999998</c:v>
                </c:pt>
                <c:pt idx="2">
                  <c:v>0.75700000000000001</c:v>
                </c:pt>
                <c:pt idx="3">
                  <c:v>1.0149999999999999</c:v>
                </c:pt>
                <c:pt idx="4">
                  <c:v>1.4850000000000001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E9-9649-9542-9FA2945B9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438464"/>
        <c:axId val="1699436672"/>
      </c:scatterChart>
      <c:valAx>
        <c:axId val="169943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9436672"/>
        <c:crosses val="autoZero"/>
        <c:crossBetween val="midCat"/>
      </c:valAx>
      <c:valAx>
        <c:axId val="169943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943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8</xdr:col>
      <xdr:colOff>787400</xdr:colOff>
      <xdr:row>0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2D0ACB-9471-914F-811A-C0EB72309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1700" y="0"/>
          <a:ext cx="13462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388409</xdr:colOff>
      <xdr:row>8</xdr:row>
      <xdr:rowOff>22225</xdr:rowOff>
    </xdr:from>
    <xdr:to>
      <xdr:col>15</xdr:col>
      <xdr:colOff>617009</xdr:colOff>
      <xdr:row>23</xdr:row>
      <xdr:rowOff>98425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37F67D5-8D6F-4249-8681-2C40C0FCA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</xdr:row>
      <xdr:rowOff>28575</xdr:rowOff>
    </xdr:from>
    <xdr:to>
      <xdr:col>8</xdr:col>
      <xdr:colOff>171450</xdr:colOff>
      <xdr:row>23</xdr:row>
      <xdr:rowOff>104775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B746352-9156-484B-8AF4-B7CD9EF27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155575</xdr:colOff>
      <xdr:row>7</xdr:row>
      <xdr:rowOff>66675</xdr:rowOff>
    </xdr:from>
    <xdr:to>
      <xdr:col>8</xdr:col>
      <xdr:colOff>327025</xdr:colOff>
      <xdr:row>22</xdr:row>
      <xdr:rowOff>142875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F5602AD-9F8E-27F9-2F4A-2C5EDB5F1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7</xdr:row>
      <xdr:rowOff>98425</xdr:rowOff>
    </xdr:from>
    <xdr:to>
      <xdr:col>16</xdr:col>
      <xdr:colOff>276225</xdr:colOff>
      <xdr:row>22</xdr:row>
      <xdr:rowOff>174625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7E1A2DC-33D8-8777-B587-E60609CDB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329046</xdr:colOff>
      <xdr:row>29</xdr:row>
      <xdr:rowOff>169718</xdr:rowOff>
    </xdr:from>
    <xdr:to>
      <xdr:col>8</xdr:col>
      <xdr:colOff>132773</xdr:colOff>
      <xdr:row>45</xdr:row>
      <xdr:rowOff>142009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E78F846-892F-C948-2F9C-587F8AE56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95250</xdr:colOff>
      <xdr:row>30</xdr:row>
      <xdr:rowOff>6350</xdr:rowOff>
    </xdr:from>
    <xdr:to>
      <xdr:col>16</xdr:col>
      <xdr:colOff>552450</xdr:colOff>
      <xdr:row>46</xdr:row>
      <xdr:rowOff>76200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5B166E7-937E-1BC3-402F-409A3CEEE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AA9C-5B96-0847-99D9-A1948513BD3E}">
  <dimension ref="A1:C73"/>
  <sheetViews>
    <sheetView zoomScale="99" workbookViewId="0">
      <selection activeCell="D71" sqref="D71"/>
    </sheetView>
  </sheetViews>
  <sheetFormatPr baseColWidth="10" defaultRowHeight="13"/>
  <cols>
    <col min="1" max="2" width="11.5" style="3" customWidth="1"/>
    <col min="3" max="14" width="11.5" style="2" customWidth="1"/>
    <col min="15" max="249" width="8.83203125" style="2" customWidth="1"/>
    <col min="250" max="16384" width="10.83203125" style="2"/>
  </cols>
  <sheetData>
    <row r="1" spans="1:3">
      <c r="A1" s="3" t="s">
        <v>40</v>
      </c>
      <c r="B1" s="3" t="s">
        <v>41</v>
      </c>
      <c r="C1" s="2" t="s">
        <v>42</v>
      </c>
    </row>
    <row r="2" spans="1:3">
      <c r="A2" s="3">
        <v>0</v>
      </c>
      <c r="B2" s="3">
        <v>0</v>
      </c>
      <c r="C2" s="2">
        <v>3404</v>
      </c>
    </row>
    <row r="3" spans="1:3">
      <c r="A3" s="3">
        <v>-1.8827344617709078E-3</v>
      </c>
      <c r="B3" s="3">
        <v>-1.6085888147810634E-3</v>
      </c>
      <c r="C3" s="2">
        <v>3514</v>
      </c>
    </row>
    <row r="4" spans="1:3">
      <c r="A4" s="3">
        <v>0</v>
      </c>
      <c r="B4" s="3">
        <v>0</v>
      </c>
      <c r="C4" s="2">
        <v>3624</v>
      </c>
    </row>
    <row r="5" spans="1:3">
      <c r="A5" s="3">
        <v>0</v>
      </c>
      <c r="B5" s="3">
        <v>0</v>
      </c>
      <c r="C5" s="2">
        <v>3734</v>
      </c>
    </row>
    <row r="6" spans="1:3">
      <c r="A6" s="3">
        <v>-6.3690460232287949E-4</v>
      </c>
      <c r="B6" s="3">
        <v>-1.7301933248652511E-3</v>
      </c>
      <c r="C6" s="2">
        <v>3844</v>
      </c>
    </row>
    <row r="7" spans="1:3">
      <c r="A7" s="3">
        <v>8.0912656605025939E-5</v>
      </c>
      <c r="B7" s="3">
        <v>0</v>
      </c>
      <c r="C7" s="2">
        <v>3954</v>
      </c>
    </row>
    <row r="8" spans="1:3">
      <c r="A8" s="3">
        <v>-1.2794302021516828E-3</v>
      </c>
      <c r="B8" s="3">
        <v>-2.8390618818827013E-3</v>
      </c>
      <c r="C8" s="2">
        <v>4064</v>
      </c>
    </row>
    <row r="9" spans="1:3">
      <c r="A9" s="3">
        <v>5.9757552882071753E-5</v>
      </c>
      <c r="B9" s="3">
        <v>-2.204245254373606E-3</v>
      </c>
      <c r="C9" s="2">
        <v>4174</v>
      </c>
    </row>
    <row r="10" spans="1:3">
      <c r="A10" s="3">
        <v>2.9265726252534147E-3</v>
      </c>
      <c r="B10" s="3">
        <v>-2.2595186604799046E-3</v>
      </c>
      <c r="C10" s="2">
        <v>4284</v>
      </c>
    </row>
    <row r="11" spans="1:3">
      <c r="A11" s="3">
        <v>1.7075656956485989E-2</v>
      </c>
      <c r="B11" s="3">
        <v>-1.9218233217033784E-3</v>
      </c>
      <c r="C11" s="2">
        <v>4394</v>
      </c>
    </row>
    <row r="12" spans="1:3">
      <c r="A12" s="3">
        <v>3.6799024836486373E-2</v>
      </c>
      <c r="B12" s="3">
        <v>0</v>
      </c>
      <c r="C12" s="2">
        <v>4504</v>
      </c>
    </row>
    <row r="13" spans="1:3">
      <c r="A13" s="3">
        <v>6.6679528007864683E-2</v>
      </c>
      <c r="B13" s="3">
        <v>1.9013951414971484E-3</v>
      </c>
      <c r="C13" s="2">
        <v>4614</v>
      </c>
    </row>
    <row r="14" spans="1:3">
      <c r="A14" s="3">
        <v>0.10631276185639701</v>
      </c>
      <c r="B14" s="3">
        <v>6.6290203190448541E-3</v>
      </c>
      <c r="C14" s="2">
        <v>4724</v>
      </c>
    </row>
    <row r="15" spans="1:3">
      <c r="A15" s="3">
        <v>0.1506203471305016</v>
      </c>
      <c r="B15" s="3">
        <v>1.2642949549238397E-2</v>
      </c>
      <c r="C15" s="2">
        <v>4834</v>
      </c>
    </row>
    <row r="16" spans="1:3">
      <c r="A16" s="3">
        <v>0.20860353574062518</v>
      </c>
      <c r="B16" s="3">
        <v>2.1451966570539913E-2</v>
      </c>
      <c r="C16" s="2">
        <v>4944</v>
      </c>
    </row>
    <row r="17" spans="1:3">
      <c r="A17" s="3">
        <v>0.26330120938921503</v>
      </c>
      <c r="B17" s="3">
        <v>2.6694540459860687E-2</v>
      </c>
      <c r="C17" s="2">
        <v>5054</v>
      </c>
    </row>
    <row r="18" spans="1:3">
      <c r="A18" s="3">
        <v>0.339669080327207</v>
      </c>
      <c r="B18" s="3">
        <v>3.8125586970609138E-2</v>
      </c>
      <c r="C18" s="2">
        <v>5164</v>
      </c>
    </row>
    <row r="19" spans="1:3">
      <c r="A19" s="3">
        <v>0.41795941155247779</v>
      </c>
      <c r="B19" s="3">
        <v>4.917052841837094E-2</v>
      </c>
      <c r="C19" s="2">
        <v>5274</v>
      </c>
    </row>
    <row r="20" spans="1:3">
      <c r="A20" s="3">
        <v>0.5001237869288353</v>
      </c>
      <c r="B20" s="3">
        <v>5.9825323960743526E-2</v>
      </c>
      <c r="C20" s="2">
        <v>5384</v>
      </c>
    </row>
    <row r="21" spans="1:3">
      <c r="A21" s="3">
        <v>0.5867661894268601</v>
      </c>
      <c r="B21" s="3">
        <v>7.1669306139675565E-2</v>
      </c>
      <c r="C21" s="2">
        <v>5494</v>
      </c>
    </row>
    <row r="22" spans="1:3">
      <c r="A22" s="3">
        <v>0.67502576507409739</v>
      </c>
      <c r="B22" s="3">
        <v>8.128081986263172E-2</v>
      </c>
      <c r="C22" s="2">
        <v>5604</v>
      </c>
    </row>
    <row r="23" spans="1:3">
      <c r="A23" s="3">
        <v>0.75295242519877192</v>
      </c>
      <c r="B23" s="3">
        <v>9.036225569922042E-2</v>
      </c>
      <c r="C23" s="2">
        <v>5714</v>
      </c>
    </row>
    <row r="24" spans="1:3">
      <c r="A24" s="3">
        <v>0.8498042219930424</v>
      </c>
      <c r="B24" s="3">
        <v>0.10230063384395233</v>
      </c>
      <c r="C24" s="2">
        <v>5824</v>
      </c>
    </row>
    <row r="25" spans="1:3">
      <c r="A25" s="3">
        <v>0.91323407117474709</v>
      </c>
      <c r="B25" s="3">
        <v>0.11152916708589816</v>
      </c>
      <c r="C25" s="2">
        <v>5934</v>
      </c>
    </row>
    <row r="26" spans="1:3">
      <c r="A26" s="3">
        <v>0.98838558146525191</v>
      </c>
      <c r="B26" s="3">
        <v>0.12277040663822075</v>
      </c>
      <c r="C26" s="2">
        <v>6044</v>
      </c>
    </row>
    <row r="27" spans="1:3">
      <c r="A27" s="3">
        <v>1.0394614465725376</v>
      </c>
      <c r="B27" s="3">
        <v>0.13037350607621154</v>
      </c>
      <c r="C27" s="2">
        <v>6154</v>
      </c>
    </row>
    <row r="28" spans="1:3">
      <c r="A28" s="3">
        <v>1.072708840979852</v>
      </c>
      <c r="B28" s="3">
        <v>0.13126414867328179</v>
      </c>
      <c r="C28" s="2">
        <v>6264</v>
      </c>
    </row>
    <row r="29" spans="1:3">
      <c r="A29" s="3">
        <v>1.1217517827220556</v>
      </c>
      <c r="B29" s="3">
        <v>0.14238844897086747</v>
      </c>
      <c r="C29" s="2">
        <v>6374</v>
      </c>
    </row>
    <row r="30" spans="1:3">
      <c r="A30" s="3">
        <v>1.1493151678381233</v>
      </c>
      <c r="B30" s="3">
        <v>0.1446188175065547</v>
      </c>
      <c r="C30" s="2">
        <v>6484</v>
      </c>
    </row>
    <row r="31" spans="1:3">
      <c r="A31" s="3">
        <v>1.1714646964076123</v>
      </c>
      <c r="B31" s="3">
        <v>0.14862146272399818</v>
      </c>
      <c r="C31" s="2">
        <v>6594</v>
      </c>
    </row>
    <row r="32" spans="1:3">
      <c r="A32" s="3">
        <v>1.1636024099232121</v>
      </c>
      <c r="B32" s="3">
        <v>0.14758681221000203</v>
      </c>
      <c r="C32" s="2">
        <v>6704</v>
      </c>
    </row>
    <row r="33" spans="1:3">
      <c r="A33" s="3">
        <v>1.1411898138232406</v>
      </c>
      <c r="B33" s="3">
        <v>0.14382491221051386</v>
      </c>
      <c r="C33" s="2">
        <v>6814</v>
      </c>
    </row>
    <row r="34" spans="1:3">
      <c r="A34" s="3">
        <v>1.1349846901019696</v>
      </c>
      <c r="B34" s="3">
        <v>0.14836675233062876</v>
      </c>
      <c r="C34" s="2">
        <v>6924</v>
      </c>
    </row>
    <row r="35" spans="1:3">
      <c r="A35" s="3">
        <v>1.1135638218612247</v>
      </c>
      <c r="B35" s="3">
        <v>0.14930648291299714</v>
      </c>
      <c r="C35" s="2">
        <v>7034</v>
      </c>
    </row>
    <row r="36" spans="1:3">
      <c r="A36" s="3">
        <v>1.0636434525100402</v>
      </c>
      <c r="B36" s="3">
        <v>0.14576180364163235</v>
      </c>
      <c r="C36" s="2">
        <v>7144</v>
      </c>
    </row>
    <row r="37" spans="1:3">
      <c r="A37" s="3">
        <v>1.0346842818806052</v>
      </c>
      <c r="B37" s="3">
        <v>0.14933248956559128</v>
      </c>
      <c r="C37" s="2">
        <v>7254</v>
      </c>
    </row>
    <row r="38" spans="1:3">
      <c r="A38" s="3">
        <v>0.97386441220266862</v>
      </c>
      <c r="B38" s="3">
        <v>0.15972194472254528</v>
      </c>
      <c r="C38" s="2">
        <v>7364</v>
      </c>
    </row>
    <row r="39" spans="1:3">
      <c r="A39" s="3">
        <v>0.8952615526863178</v>
      </c>
      <c r="B39" s="3">
        <v>0.17227822468405379</v>
      </c>
      <c r="C39" s="2">
        <v>7474</v>
      </c>
    </row>
    <row r="40" spans="1:3">
      <c r="A40" s="3">
        <v>0.82484356310130724</v>
      </c>
      <c r="B40" s="3">
        <v>0.20326747392833777</v>
      </c>
      <c r="C40" s="2">
        <v>7584</v>
      </c>
    </row>
    <row r="41" spans="1:3">
      <c r="A41" s="3">
        <v>0.77596511605419027</v>
      </c>
      <c r="B41" s="3">
        <v>0.25715918547659011</v>
      </c>
      <c r="C41" s="2">
        <v>7694</v>
      </c>
    </row>
    <row r="42" spans="1:3">
      <c r="A42" s="3">
        <v>0.75113404067673306</v>
      </c>
      <c r="B42" s="3">
        <v>0.32129928426312815</v>
      </c>
      <c r="C42" s="2">
        <v>7804</v>
      </c>
    </row>
    <row r="43" spans="1:3">
      <c r="A43" s="3">
        <v>0.72203227975263606</v>
      </c>
      <c r="B43" s="3">
        <v>0.3834836583940911</v>
      </c>
      <c r="C43" s="2">
        <v>7914</v>
      </c>
    </row>
    <row r="44" spans="1:3">
      <c r="A44" s="3">
        <v>0.6999185633899756</v>
      </c>
      <c r="B44" s="3">
        <v>0.43664472617903283</v>
      </c>
      <c r="C44" s="2">
        <v>8024</v>
      </c>
    </row>
    <row r="45" spans="1:3">
      <c r="A45" s="3">
        <v>0.70792977343502483</v>
      </c>
      <c r="B45" s="3">
        <v>0.46472444552482184</v>
      </c>
      <c r="C45" s="2">
        <v>8134</v>
      </c>
    </row>
    <row r="46" spans="1:3">
      <c r="A46" s="3">
        <v>0.70258563918711692</v>
      </c>
      <c r="B46" s="3">
        <v>0.48510669088361946</v>
      </c>
      <c r="C46" s="2">
        <v>8244</v>
      </c>
    </row>
    <row r="47" spans="1:3">
      <c r="A47" s="3">
        <v>0.6884192848836973</v>
      </c>
      <c r="B47" s="3">
        <v>0.53299678779212778</v>
      </c>
      <c r="C47" s="2">
        <v>8354</v>
      </c>
    </row>
    <row r="48" spans="1:3">
      <c r="A48" s="3">
        <v>0.67756284300729208</v>
      </c>
      <c r="B48" s="3">
        <v>0.55853829631805851</v>
      </c>
      <c r="C48" s="2">
        <v>8464</v>
      </c>
    </row>
    <row r="49" spans="1:3">
      <c r="A49" s="3">
        <v>0.67238129968303095</v>
      </c>
      <c r="B49" s="3">
        <v>0.59546508073734195</v>
      </c>
      <c r="C49" s="2">
        <v>8574</v>
      </c>
    </row>
    <row r="50" spans="1:3">
      <c r="A50" s="3">
        <v>0.65645052253675495</v>
      </c>
      <c r="B50" s="3">
        <v>0.61817384542830989</v>
      </c>
      <c r="C50" s="2">
        <v>8684</v>
      </c>
    </row>
    <row r="51" spans="1:3">
      <c r="A51" s="3">
        <v>0.64479228776878073</v>
      </c>
      <c r="B51" s="3">
        <v>0.62463639898838808</v>
      </c>
      <c r="C51" s="2">
        <v>8794</v>
      </c>
    </row>
    <row r="52" spans="1:3">
      <c r="A52" s="3">
        <v>0.61946341996314225</v>
      </c>
      <c r="B52" s="3">
        <v>0.61563741050552145</v>
      </c>
      <c r="C52" s="2">
        <v>8904</v>
      </c>
    </row>
    <row r="53" spans="1:3">
      <c r="A53" s="3">
        <v>0.60113979301401599</v>
      </c>
      <c r="B53" s="3">
        <v>0.61806508636173541</v>
      </c>
      <c r="C53" s="2">
        <v>9014</v>
      </c>
    </row>
    <row r="54" spans="1:3">
      <c r="A54" s="3">
        <v>0.57480906907096019</v>
      </c>
      <c r="B54" s="3">
        <v>0.6106038514606319</v>
      </c>
      <c r="C54" s="2">
        <v>9124</v>
      </c>
    </row>
    <row r="55" spans="1:3">
      <c r="A55" s="3">
        <v>0.54982288107552113</v>
      </c>
      <c r="B55" s="3">
        <v>0.5959698872398369</v>
      </c>
      <c r="C55" s="2">
        <v>9234</v>
      </c>
    </row>
    <row r="56" spans="1:3">
      <c r="A56" s="3">
        <v>0.5213573748343785</v>
      </c>
      <c r="B56" s="3">
        <v>0.56429994767442193</v>
      </c>
      <c r="C56" s="2">
        <v>9344</v>
      </c>
    </row>
    <row r="57" spans="1:3">
      <c r="A57" s="3">
        <v>0.4825364218006909</v>
      </c>
      <c r="B57" s="3">
        <v>0.52394567654020818</v>
      </c>
      <c r="C57" s="2">
        <v>9454</v>
      </c>
    </row>
    <row r="58" spans="1:3">
      <c r="A58" s="3">
        <v>0.46605590307478512</v>
      </c>
      <c r="B58" s="3">
        <v>0.5098906125745436</v>
      </c>
      <c r="C58" s="2">
        <v>9564</v>
      </c>
    </row>
    <row r="59" spans="1:3">
      <c r="A59" s="3">
        <v>0.43627406023397725</v>
      </c>
      <c r="B59" s="3">
        <v>0.4757954799411781</v>
      </c>
      <c r="C59" s="2">
        <v>9674</v>
      </c>
    </row>
    <row r="60" spans="1:3">
      <c r="A60" s="3">
        <v>0.40005767449709578</v>
      </c>
      <c r="B60" s="3">
        <v>0.43422468391005575</v>
      </c>
      <c r="C60" s="2">
        <v>9784</v>
      </c>
    </row>
    <row r="61" spans="1:3">
      <c r="A61" s="3">
        <v>0.36529337917367455</v>
      </c>
      <c r="B61" s="3">
        <v>0.39186210365127833</v>
      </c>
      <c r="C61" s="2">
        <v>9894</v>
      </c>
    </row>
    <row r="62" spans="1:3">
      <c r="A62" s="3">
        <v>0.33826030708064336</v>
      </c>
      <c r="B62" s="3">
        <v>0.36119918307861687</v>
      </c>
      <c r="C62" s="2">
        <v>10004</v>
      </c>
    </row>
    <row r="63" spans="1:3">
      <c r="A63" s="3">
        <v>0.31600231803086987</v>
      </c>
      <c r="B63" s="3">
        <v>0.32690575202258687</v>
      </c>
      <c r="C63" s="2">
        <v>10114</v>
      </c>
    </row>
    <row r="64" spans="1:3">
      <c r="A64" s="3">
        <v>0.29516264689389454</v>
      </c>
      <c r="B64" s="3">
        <v>0.30318670674011622</v>
      </c>
      <c r="C64" s="2">
        <v>10224</v>
      </c>
    </row>
    <row r="65" spans="1:3">
      <c r="A65" s="3">
        <v>0.26718526252700847</v>
      </c>
      <c r="B65" s="3">
        <v>0.26739530046589605</v>
      </c>
      <c r="C65" s="2">
        <v>10334</v>
      </c>
    </row>
    <row r="66" spans="1:3">
      <c r="A66" s="3">
        <v>0.24597063739799885</v>
      </c>
      <c r="B66" s="3">
        <v>0.23935594595234974</v>
      </c>
      <c r="C66" s="2">
        <v>10444</v>
      </c>
    </row>
    <row r="67" spans="1:3">
      <c r="A67" s="3">
        <v>0.27802101712230809</v>
      </c>
      <c r="B67" s="3">
        <v>0.23247465823458355</v>
      </c>
      <c r="C67" s="2">
        <v>10664</v>
      </c>
    </row>
    <row r="68" spans="1:3">
      <c r="A68" s="3">
        <v>0.21130247513039738</v>
      </c>
      <c r="B68" s="3">
        <v>0.18285024369369685</v>
      </c>
      <c r="C68" s="2">
        <v>10774</v>
      </c>
    </row>
    <row r="69" spans="1:3">
      <c r="A69" s="3">
        <v>0.16630513577835462</v>
      </c>
      <c r="B69" s="3">
        <v>0.14556372433330322</v>
      </c>
      <c r="C69" s="2">
        <v>10884</v>
      </c>
    </row>
    <row r="70" spans="1:3">
      <c r="A70" s="3">
        <v>0.13793840777923463</v>
      </c>
      <c r="B70" s="3">
        <v>0.12268078676557261</v>
      </c>
      <c r="C70" s="2">
        <v>10994</v>
      </c>
    </row>
    <row r="71" spans="1:3">
      <c r="A71" s="3">
        <v>0.13563749632113306</v>
      </c>
      <c r="B71" s="3">
        <v>0.11066511235155645</v>
      </c>
      <c r="C71" s="2">
        <v>11104</v>
      </c>
    </row>
    <row r="72" spans="1:3">
      <c r="A72" s="3">
        <v>0.13860382770416271</v>
      </c>
      <c r="B72" s="3">
        <v>0.10686263043464637</v>
      </c>
      <c r="C72" s="2">
        <v>11214</v>
      </c>
    </row>
    <row r="73" spans="1:3">
      <c r="A73" s="3">
        <v>0.12764729449350845</v>
      </c>
      <c r="B73" s="3">
        <v>9.9794744413128522E-2</v>
      </c>
      <c r="C73" s="2">
        <v>11324</v>
      </c>
    </row>
  </sheetData>
  <phoneticPr fontId="1" type="noConversion"/>
  <pageMargins left="0.78740157480314954" right="0.78740157480314954" top="1" bottom="1" header="0.5" footer="0.5"/>
  <pageSetup paperSize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6C08-530F-FA43-B3F4-C13617543C28}">
  <dimension ref="A1:I89"/>
  <sheetViews>
    <sheetView topLeftCell="A73" zoomScale="111" workbookViewId="0">
      <selection activeCell="A85" sqref="A85:C89"/>
    </sheetView>
  </sheetViews>
  <sheetFormatPr baseColWidth="10" defaultColWidth="8.83203125" defaultRowHeight="13"/>
  <cols>
    <col min="1" max="2" width="11.5" style="4" customWidth="1"/>
    <col min="3" max="3" width="11.5" style="6" customWidth="1"/>
    <col min="4" max="4" width="11.5" style="3" customWidth="1"/>
    <col min="5" max="5" width="22.6640625" style="5" customWidth="1"/>
    <col min="6" max="6" width="11.5" style="4" customWidth="1"/>
    <col min="7" max="8" width="11.5" style="3" customWidth="1"/>
    <col min="9" max="21" width="11.5" style="2" customWidth="1"/>
    <col min="22" max="16384" width="8.83203125" style="2"/>
  </cols>
  <sheetData>
    <row r="1" spans="1:9" s="17" customFormat="1" ht="38.25" customHeight="1">
      <c r="A1" s="17" t="s">
        <v>178</v>
      </c>
    </row>
    <row r="2" spans="1:9">
      <c r="A2" s="17" t="s">
        <v>177</v>
      </c>
      <c r="B2" s="17" t="s">
        <v>176</v>
      </c>
      <c r="H2" s="17" t="s">
        <v>175</v>
      </c>
      <c r="I2" s="17" t="s">
        <v>174</v>
      </c>
    </row>
    <row r="3" spans="1:9">
      <c r="A3" s="16">
        <v>46164</v>
      </c>
      <c r="B3" s="15" t="s">
        <v>173</v>
      </c>
    </row>
    <row r="4" spans="1:9" s="7" customFormat="1" ht="38.25" customHeight="1">
      <c r="A4" s="14" t="s">
        <v>2</v>
      </c>
      <c r="B4" s="14" t="s">
        <v>2</v>
      </c>
      <c r="C4" s="14" t="s">
        <v>2</v>
      </c>
      <c r="D4" s="14" t="s">
        <v>2</v>
      </c>
      <c r="E4" s="14" t="s">
        <v>2</v>
      </c>
      <c r="F4" s="14" t="s">
        <v>2</v>
      </c>
      <c r="G4" s="14" t="s">
        <v>2</v>
      </c>
      <c r="H4" s="14" t="s">
        <v>2</v>
      </c>
    </row>
    <row r="5" spans="1:9">
      <c r="A5" s="7" t="s">
        <v>17</v>
      </c>
      <c r="B5" s="7" t="s">
        <v>16</v>
      </c>
      <c r="C5" s="7" t="s">
        <v>15</v>
      </c>
      <c r="D5" s="7" t="s">
        <v>14</v>
      </c>
      <c r="E5" s="7" t="s">
        <v>13</v>
      </c>
      <c r="F5" s="7" t="s">
        <v>12</v>
      </c>
      <c r="G5" s="7" t="s">
        <v>11</v>
      </c>
      <c r="H5" s="7" t="s">
        <v>10</v>
      </c>
    </row>
    <row r="6" spans="1:9">
      <c r="A6" s="4" t="s">
        <v>2</v>
      </c>
      <c r="B6" s="4" t="s">
        <v>2</v>
      </c>
      <c r="C6" s="4" t="s">
        <v>2</v>
      </c>
      <c r="D6" s="4" t="s">
        <v>9</v>
      </c>
      <c r="E6" s="4" t="s">
        <v>2</v>
      </c>
      <c r="F6" s="4" t="s">
        <v>8</v>
      </c>
      <c r="G6" s="4" t="s">
        <v>7</v>
      </c>
      <c r="H6" s="4" t="s">
        <v>6</v>
      </c>
    </row>
    <row r="7" spans="1:9">
      <c r="A7" s="4" t="s">
        <v>172</v>
      </c>
      <c r="B7" s="4" t="s">
        <v>5</v>
      </c>
      <c r="C7" s="6" t="s">
        <v>2</v>
      </c>
    </row>
    <row r="8" spans="1:9">
      <c r="A8" s="4" t="s">
        <v>172</v>
      </c>
      <c r="B8" s="4" t="s">
        <v>4</v>
      </c>
      <c r="C8" s="6" t="s">
        <v>2</v>
      </c>
      <c r="G8" s="3">
        <v>0</v>
      </c>
      <c r="H8" s="3">
        <v>0</v>
      </c>
    </row>
    <row r="9" spans="1:9">
      <c r="A9" s="4" t="s">
        <v>170</v>
      </c>
      <c r="B9" s="4" t="s">
        <v>171</v>
      </c>
      <c r="C9" s="6" t="s">
        <v>2</v>
      </c>
    </row>
    <row r="10" spans="1:9">
      <c r="A10" s="4" t="s">
        <v>170</v>
      </c>
      <c r="B10" s="4" t="s">
        <v>3</v>
      </c>
      <c r="C10" s="6" t="s">
        <v>2</v>
      </c>
      <c r="G10" s="3">
        <v>0</v>
      </c>
      <c r="H10" s="3">
        <v>0</v>
      </c>
      <c r="I10" s="2" t="s">
        <v>169</v>
      </c>
    </row>
    <row r="11" spans="1:9">
      <c r="A11" s="4" t="s">
        <v>168</v>
      </c>
      <c r="B11" s="4" t="s">
        <v>167</v>
      </c>
      <c r="C11" s="6" t="s">
        <v>2</v>
      </c>
      <c r="G11" s="3">
        <v>-1.8827344617709078E-3</v>
      </c>
      <c r="H11" s="3">
        <v>-1.6085888147810634E-3</v>
      </c>
    </row>
    <row r="12" spans="1:9">
      <c r="A12" s="4" t="s">
        <v>166</v>
      </c>
      <c r="B12" s="4" t="s">
        <v>165</v>
      </c>
      <c r="C12" s="6" t="s">
        <v>2</v>
      </c>
      <c r="G12" s="3">
        <v>0</v>
      </c>
      <c r="H12" s="3">
        <v>0</v>
      </c>
    </row>
    <row r="13" spans="1:9">
      <c r="A13" s="4" t="s">
        <v>164</v>
      </c>
      <c r="B13" s="4" t="s">
        <v>163</v>
      </c>
      <c r="C13" s="6" t="s">
        <v>2</v>
      </c>
      <c r="G13" s="3">
        <v>0</v>
      </c>
      <c r="H13" s="3">
        <v>0</v>
      </c>
    </row>
    <row r="14" spans="1:9">
      <c r="A14" s="4" t="s">
        <v>162</v>
      </c>
      <c r="B14" s="4" t="s">
        <v>161</v>
      </c>
      <c r="C14" s="6" t="s">
        <v>2</v>
      </c>
      <c r="G14" s="3">
        <v>-6.3690460232287949E-4</v>
      </c>
      <c r="H14" s="3">
        <v>-1.7301933248652511E-3</v>
      </c>
    </row>
    <row r="15" spans="1:9">
      <c r="A15" s="4" t="s">
        <v>159</v>
      </c>
      <c r="B15" s="4" t="s">
        <v>160</v>
      </c>
      <c r="C15" s="6" t="s">
        <v>2</v>
      </c>
      <c r="G15" s="3">
        <v>8.0912656605025939E-5</v>
      </c>
      <c r="H15" s="3">
        <v>0</v>
      </c>
    </row>
    <row r="16" spans="1:9">
      <c r="A16" s="4" t="s">
        <v>159</v>
      </c>
      <c r="B16" s="4" t="s">
        <v>158</v>
      </c>
      <c r="C16" s="6" t="s">
        <v>2</v>
      </c>
      <c r="G16" s="3">
        <v>-1.2794302021516828E-3</v>
      </c>
      <c r="H16" s="3">
        <v>-2.8390618818827013E-3</v>
      </c>
    </row>
    <row r="17" spans="1:8">
      <c r="A17" s="4" t="s">
        <v>157</v>
      </c>
      <c r="B17" s="4" t="s">
        <v>156</v>
      </c>
      <c r="C17" s="6" t="s">
        <v>2</v>
      </c>
      <c r="G17" s="3">
        <v>5.9757552882071753E-5</v>
      </c>
      <c r="H17" s="3">
        <v>-2.204245254373606E-3</v>
      </c>
    </row>
    <row r="18" spans="1:8">
      <c r="A18" s="4" t="s">
        <v>155</v>
      </c>
      <c r="B18" s="4" t="s">
        <v>154</v>
      </c>
      <c r="C18" s="6" t="s">
        <v>2</v>
      </c>
      <c r="G18" s="3">
        <v>2.9265726252534147E-3</v>
      </c>
      <c r="H18" s="3">
        <v>-2.2595186604799046E-3</v>
      </c>
    </row>
    <row r="19" spans="1:8">
      <c r="A19" s="4" t="s">
        <v>152</v>
      </c>
      <c r="B19" s="4" t="s">
        <v>153</v>
      </c>
      <c r="C19" s="6" t="s">
        <v>2</v>
      </c>
      <c r="G19" s="3">
        <v>1.7075656956485989E-2</v>
      </c>
      <c r="H19" s="3">
        <v>-1.9218233217033784E-3</v>
      </c>
    </row>
    <row r="20" spans="1:8">
      <c r="A20" s="4" t="s">
        <v>152</v>
      </c>
      <c r="B20" s="4" t="s">
        <v>151</v>
      </c>
      <c r="C20" s="6" t="s">
        <v>2</v>
      </c>
      <c r="G20" s="3">
        <v>3.6799024836486373E-2</v>
      </c>
      <c r="H20" s="3">
        <v>0</v>
      </c>
    </row>
    <row r="21" spans="1:8">
      <c r="A21" s="4" t="s">
        <v>150</v>
      </c>
      <c r="B21" s="4" t="s">
        <v>149</v>
      </c>
      <c r="C21" s="6" t="s">
        <v>2</v>
      </c>
      <c r="G21" s="3">
        <v>6.6679528007864683E-2</v>
      </c>
      <c r="H21" s="3">
        <v>1.9013951414971484E-3</v>
      </c>
    </row>
    <row r="22" spans="1:8">
      <c r="A22" s="4" t="s">
        <v>148</v>
      </c>
      <c r="B22" s="4" t="s">
        <v>147</v>
      </c>
      <c r="C22" s="6" t="s">
        <v>2</v>
      </c>
      <c r="G22" s="3">
        <v>0.10631276185639701</v>
      </c>
      <c r="H22" s="3">
        <v>6.6290203190448541E-3</v>
      </c>
    </row>
    <row r="23" spans="1:8">
      <c r="A23" s="4" t="s">
        <v>146</v>
      </c>
      <c r="B23" s="4" t="s">
        <v>145</v>
      </c>
      <c r="C23" s="6" t="s">
        <v>2</v>
      </c>
      <c r="G23" s="3">
        <v>0.1506203471305016</v>
      </c>
      <c r="H23" s="3">
        <v>1.2642949549238397E-2</v>
      </c>
    </row>
    <row r="24" spans="1:8">
      <c r="A24" s="4" t="s">
        <v>143</v>
      </c>
      <c r="B24" s="4" t="s">
        <v>144</v>
      </c>
      <c r="C24" s="6" t="s">
        <v>2</v>
      </c>
      <c r="G24" s="3">
        <v>0.20860353574062518</v>
      </c>
      <c r="H24" s="3">
        <v>2.1451966570539913E-2</v>
      </c>
    </row>
    <row r="25" spans="1:8">
      <c r="A25" s="4" t="s">
        <v>143</v>
      </c>
      <c r="B25" s="4" t="s">
        <v>142</v>
      </c>
      <c r="C25" s="6" t="s">
        <v>2</v>
      </c>
      <c r="G25" s="3">
        <v>0.26330120938921503</v>
      </c>
      <c r="H25" s="3">
        <v>2.6694540459860687E-2</v>
      </c>
    </row>
    <row r="26" spans="1:8">
      <c r="A26" s="4" t="s">
        <v>140</v>
      </c>
      <c r="B26" s="4" t="s">
        <v>141</v>
      </c>
      <c r="C26" s="6" t="s">
        <v>2</v>
      </c>
      <c r="G26" s="3">
        <v>0.339669080327207</v>
      </c>
      <c r="H26" s="3">
        <v>3.8125586970609138E-2</v>
      </c>
    </row>
    <row r="27" spans="1:8">
      <c r="A27" s="4" t="s">
        <v>140</v>
      </c>
      <c r="B27" s="4" t="s">
        <v>139</v>
      </c>
      <c r="C27" s="6" t="s">
        <v>2</v>
      </c>
      <c r="G27" s="3">
        <v>0.41795941155247779</v>
      </c>
      <c r="H27" s="3">
        <v>4.917052841837094E-2</v>
      </c>
    </row>
    <row r="28" spans="1:8">
      <c r="A28" s="4" t="s">
        <v>138</v>
      </c>
      <c r="B28" s="4" t="s">
        <v>137</v>
      </c>
      <c r="C28" s="6" t="s">
        <v>2</v>
      </c>
      <c r="G28" s="3">
        <v>0.5001237869288353</v>
      </c>
      <c r="H28" s="3">
        <v>5.9825323960743526E-2</v>
      </c>
    </row>
    <row r="29" spans="1:8">
      <c r="A29" s="4" t="s">
        <v>136</v>
      </c>
      <c r="B29" s="4" t="s">
        <v>135</v>
      </c>
      <c r="C29" s="6" t="s">
        <v>2</v>
      </c>
      <c r="G29" s="3">
        <v>0.5867661894268601</v>
      </c>
      <c r="H29" s="3">
        <v>7.1669306139675565E-2</v>
      </c>
    </row>
    <row r="30" spans="1:8">
      <c r="A30" s="4" t="s">
        <v>133</v>
      </c>
      <c r="B30" s="4" t="s">
        <v>134</v>
      </c>
      <c r="C30" s="6" t="s">
        <v>2</v>
      </c>
      <c r="G30" s="3">
        <v>0.67502576507409739</v>
      </c>
      <c r="H30" s="3">
        <v>8.128081986263172E-2</v>
      </c>
    </row>
    <row r="31" spans="1:8">
      <c r="A31" s="4" t="s">
        <v>133</v>
      </c>
      <c r="B31" s="4" t="s">
        <v>132</v>
      </c>
      <c r="C31" s="6" t="s">
        <v>2</v>
      </c>
      <c r="G31" s="3">
        <v>0.75295242519877192</v>
      </c>
      <c r="H31" s="3">
        <v>9.036225569922042E-2</v>
      </c>
    </row>
    <row r="32" spans="1:8">
      <c r="A32" s="4" t="s">
        <v>130</v>
      </c>
      <c r="B32" s="4" t="s">
        <v>131</v>
      </c>
      <c r="C32" s="6" t="s">
        <v>2</v>
      </c>
      <c r="G32" s="3">
        <v>0.8498042219930424</v>
      </c>
      <c r="H32" s="3">
        <v>0.10230063384395233</v>
      </c>
    </row>
    <row r="33" spans="1:8">
      <c r="A33" s="4" t="s">
        <v>130</v>
      </c>
      <c r="B33" s="4" t="s">
        <v>129</v>
      </c>
      <c r="C33" s="6" t="s">
        <v>2</v>
      </c>
      <c r="G33" s="3">
        <v>0.91323407117474709</v>
      </c>
      <c r="H33" s="3">
        <v>0.11152916708589816</v>
      </c>
    </row>
    <row r="34" spans="1:8">
      <c r="A34" s="4" t="s">
        <v>128</v>
      </c>
      <c r="B34" s="4" t="s">
        <v>127</v>
      </c>
      <c r="C34" s="6" t="s">
        <v>2</v>
      </c>
      <c r="G34" s="3">
        <v>0.98838558146525191</v>
      </c>
      <c r="H34" s="3">
        <v>0.12277040663822075</v>
      </c>
    </row>
    <row r="35" spans="1:8">
      <c r="A35" s="4" t="s">
        <v>125</v>
      </c>
      <c r="B35" s="4" t="s">
        <v>126</v>
      </c>
      <c r="C35" s="6" t="s">
        <v>2</v>
      </c>
      <c r="G35" s="3">
        <v>1.0394614465725376</v>
      </c>
      <c r="H35" s="3">
        <v>0.13037350607621154</v>
      </c>
    </row>
    <row r="36" spans="1:8">
      <c r="A36" s="4" t="s">
        <v>125</v>
      </c>
      <c r="B36" s="4" t="s">
        <v>124</v>
      </c>
      <c r="C36" s="6" t="s">
        <v>2</v>
      </c>
      <c r="G36" s="3">
        <v>1.072708840979852</v>
      </c>
      <c r="H36" s="3">
        <v>0.13126414867328179</v>
      </c>
    </row>
    <row r="37" spans="1:8">
      <c r="A37" s="4" t="s">
        <v>123</v>
      </c>
      <c r="B37" s="4" t="s">
        <v>122</v>
      </c>
      <c r="C37" s="6" t="s">
        <v>2</v>
      </c>
      <c r="G37" s="3">
        <v>1.1217517827220556</v>
      </c>
      <c r="H37" s="3">
        <v>0.14238844897086747</v>
      </c>
    </row>
    <row r="38" spans="1:8">
      <c r="A38" s="4" t="s">
        <v>120</v>
      </c>
      <c r="B38" s="4" t="s">
        <v>121</v>
      </c>
      <c r="C38" s="6" t="s">
        <v>2</v>
      </c>
      <c r="G38" s="3">
        <v>1.1493151678381233</v>
      </c>
      <c r="H38" s="3">
        <v>0.1446188175065547</v>
      </c>
    </row>
    <row r="39" spans="1:8">
      <c r="A39" s="4" t="s">
        <v>120</v>
      </c>
      <c r="B39" s="4" t="s">
        <v>119</v>
      </c>
      <c r="C39" s="6" t="s">
        <v>2</v>
      </c>
      <c r="G39" s="3">
        <v>1.1714646964076123</v>
      </c>
      <c r="H39" s="3">
        <v>0.14862146272399818</v>
      </c>
    </row>
    <row r="40" spans="1:8">
      <c r="A40" s="4" t="s">
        <v>118</v>
      </c>
      <c r="B40" s="4" t="s">
        <v>117</v>
      </c>
      <c r="C40" s="6" t="s">
        <v>2</v>
      </c>
      <c r="G40" s="3">
        <v>1.1636024099232121</v>
      </c>
      <c r="H40" s="3">
        <v>0.14758681221000203</v>
      </c>
    </row>
    <row r="41" spans="1:8">
      <c r="A41" s="4" t="s">
        <v>115</v>
      </c>
      <c r="B41" s="4" t="s">
        <v>116</v>
      </c>
      <c r="C41" s="6" t="s">
        <v>2</v>
      </c>
      <c r="G41" s="3">
        <v>1.1411898138232406</v>
      </c>
      <c r="H41" s="3">
        <v>0.14382491221051386</v>
      </c>
    </row>
    <row r="42" spans="1:8">
      <c r="A42" s="4" t="s">
        <v>115</v>
      </c>
      <c r="B42" s="4" t="s">
        <v>114</v>
      </c>
      <c r="C42" s="6" t="s">
        <v>2</v>
      </c>
      <c r="G42" s="3">
        <v>1.1349846901019696</v>
      </c>
      <c r="H42" s="3">
        <v>0.14836675233062876</v>
      </c>
    </row>
    <row r="43" spans="1:8">
      <c r="A43" s="4" t="s">
        <v>112</v>
      </c>
      <c r="B43" s="4" t="s">
        <v>113</v>
      </c>
      <c r="C43" s="6" t="s">
        <v>2</v>
      </c>
      <c r="G43" s="3">
        <v>1.1135638218612247</v>
      </c>
      <c r="H43" s="3">
        <v>0.14930648291299714</v>
      </c>
    </row>
    <row r="44" spans="1:8">
      <c r="A44" s="4" t="s">
        <v>112</v>
      </c>
      <c r="B44" s="4" t="s">
        <v>111</v>
      </c>
      <c r="C44" s="6" t="s">
        <v>2</v>
      </c>
      <c r="G44" s="3">
        <v>1.0636434525100402</v>
      </c>
      <c r="H44" s="3">
        <v>0.14576180364163235</v>
      </c>
    </row>
    <row r="45" spans="1:8">
      <c r="A45" s="4" t="s">
        <v>110</v>
      </c>
      <c r="B45" s="4" t="s">
        <v>109</v>
      </c>
      <c r="C45" s="6" t="s">
        <v>2</v>
      </c>
      <c r="G45" s="3">
        <v>1.0346842818806052</v>
      </c>
      <c r="H45" s="3">
        <v>0.14933248956559128</v>
      </c>
    </row>
    <row r="46" spans="1:8">
      <c r="A46" s="4" t="s">
        <v>108</v>
      </c>
      <c r="B46" s="4" t="s">
        <v>107</v>
      </c>
      <c r="C46" s="6" t="s">
        <v>2</v>
      </c>
      <c r="G46" s="3">
        <v>0.97386441220266862</v>
      </c>
      <c r="H46" s="3">
        <v>0.15972194472254528</v>
      </c>
    </row>
    <row r="47" spans="1:8">
      <c r="A47" s="4" t="s">
        <v>106</v>
      </c>
      <c r="B47" s="4" t="s">
        <v>105</v>
      </c>
      <c r="C47" s="6" t="s">
        <v>2</v>
      </c>
      <c r="G47" s="3">
        <v>0.8952615526863178</v>
      </c>
      <c r="H47" s="3">
        <v>0.17227822468405379</v>
      </c>
    </row>
    <row r="48" spans="1:8">
      <c r="A48" s="4" t="s">
        <v>104</v>
      </c>
      <c r="B48" s="4" t="s">
        <v>103</v>
      </c>
      <c r="C48" s="6" t="s">
        <v>2</v>
      </c>
      <c r="G48" s="3">
        <v>0.82484356310130724</v>
      </c>
      <c r="H48" s="3">
        <v>0.20326747392833777</v>
      </c>
    </row>
    <row r="49" spans="1:8">
      <c r="A49" s="4" t="s">
        <v>102</v>
      </c>
      <c r="B49" s="4" t="s">
        <v>101</v>
      </c>
      <c r="C49" s="6" t="s">
        <v>2</v>
      </c>
      <c r="G49" s="3">
        <v>0.77596511605419027</v>
      </c>
      <c r="H49" s="3">
        <v>0.25715918547659011</v>
      </c>
    </row>
    <row r="50" spans="1:8">
      <c r="A50" s="4" t="s">
        <v>99</v>
      </c>
      <c r="B50" s="4" t="s">
        <v>100</v>
      </c>
      <c r="C50" s="6" t="s">
        <v>2</v>
      </c>
      <c r="G50" s="3">
        <v>0.75113404067673306</v>
      </c>
      <c r="H50" s="3">
        <v>0.32129928426312815</v>
      </c>
    </row>
    <row r="51" spans="1:8">
      <c r="A51" s="4" t="s">
        <v>99</v>
      </c>
      <c r="B51" s="4" t="s">
        <v>98</v>
      </c>
      <c r="C51" s="6" t="s">
        <v>2</v>
      </c>
      <c r="G51" s="3">
        <v>0.72203227975263606</v>
      </c>
      <c r="H51" s="3">
        <v>0.3834836583940911</v>
      </c>
    </row>
    <row r="52" spans="1:8">
      <c r="A52" s="4" t="s">
        <v>97</v>
      </c>
      <c r="B52" s="4" t="s">
        <v>96</v>
      </c>
      <c r="C52" s="6" t="s">
        <v>2</v>
      </c>
      <c r="G52" s="3">
        <v>0.6999185633899756</v>
      </c>
      <c r="H52" s="3">
        <v>0.43664472617903283</v>
      </c>
    </row>
    <row r="53" spans="1:8">
      <c r="A53" s="4" t="s">
        <v>94</v>
      </c>
      <c r="B53" s="4" t="s">
        <v>95</v>
      </c>
      <c r="C53" s="6" t="s">
        <v>2</v>
      </c>
      <c r="G53" s="3">
        <v>0.70792977343502483</v>
      </c>
      <c r="H53" s="3">
        <v>0.46472444552482184</v>
      </c>
    </row>
    <row r="54" spans="1:8">
      <c r="A54" s="4" t="s">
        <v>94</v>
      </c>
      <c r="B54" s="4" t="s">
        <v>93</v>
      </c>
      <c r="C54" s="6" t="s">
        <v>2</v>
      </c>
      <c r="G54" s="3">
        <v>0.70258563918711692</v>
      </c>
      <c r="H54" s="3">
        <v>0.48510669088361946</v>
      </c>
    </row>
    <row r="55" spans="1:8">
      <c r="A55" s="4" t="s">
        <v>92</v>
      </c>
      <c r="B55" s="4" t="s">
        <v>91</v>
      </c>
      <c r="C55" s="6" t="s">
        <v>2</v>
      </c>
      <c r="G55" s="3">
        <v>0.6884192848836973</v>
      </c>
      <c r="H55" s="3">
        <v>0.53299678779212778</v>
      </c>
    </row>
    <row r="56" spans="1:8">
      <c r="A56" s="4" t="s">
        <v>90</v>
      </c>
      <c r="B56" s="4" t="s">
        <v>89</v>
      </c>
      <c r="C56" s="6" t="s">
        <v>2</v>
      </c>
      <c r="G56" s="3">
        <v>0.67756284300729208</v>
      </c>
      <c r="H56" s="3">
        <v>0.55853829631805851</v>
      </c>
    </row>
    <row r="57" spans="1:8">
      <c r="A57" s="4" t="s">
        <v>87</v>
      </c>
      <c r="B57" s="4" t="s">
        <v>88</v>
      </c>
      <c r="C57" s="6" t="s">
        <v>2</v>
      </c>
      <c r="G57" s="3">
        <v>0.67238129968303095</v>
      </c>
      <c r="H57" s="3">
        <v>0.59546508073734195</v>
      </c>
    </row>
    <row r="58" spans="1:8">
      <c r="A58" s="4" t="s">
        <v>87</v>
      </c>
      <c r="B58" s="4" t="s">
        <v>86</v>
      </c>
      <c r="C58" s="6" t="s">
        <v>2</v>
      </c>
      <c r="G58" s="3">
        <v>0.65645052253675495</v>
      </c>
      <c r="H58" s="3">
        <v>0.61817384542830989</v>
      </c>
    </row>
    <row r="59" spans="1:8">
      <c r="A59" s="4" t="s">
        <v>84</v>
      </c>
      <c r="B59" s="4" t="s">
        <v>85</v>
      </c>
      <c r="C59" s="6" t="s">
        <v>2</v>
      </c>
      <c r="G59" s="3">
        <v>0.64479228776878073</v>
      </c>
      <c r="H59" s="3">
        <v>0.62463639898838808</v>
      </c>
    </row>
    <row r="60" spans="1:8">
      <c r="A60" s="4" t="s">
        <v>84</v>
      </c>
      <c r="B60" s="4" t="s">
        <v>83</v>
      </c>
      <c r="C60" s="6" t="s">
        <v>2</v>
      </c>
      <c r="G60" s="3">
        <v>0.61946341996314225</v>
      </c>
      <c r="H60" s="3">
        <v>0.61563741050552145</v>
      </c>
    </row>
    <row r="61" spans="1:8">
      <c r="A61" s="4" t="s">
        <v>82</v>
      </c>
      <c r="B61" s="4" t="s">
        <v>81</v>
      </c>
      <c r="C61" s="6" t="s">
        <v>2</v>
      </c>
      <c r="G61" s="3">
        <v>0.60113979301401599</v>
      </c>
      <c r="H61" s="3">
        <v>0.61806508636173541</v>
      </c>
    </row>
    <row r="62" spans="1:8">
      <c r="A62" s="4" t="s">
        <v>80</v>
      </c>
      <c r="B62" s="4" t="s">
        <v>79</v>
      </c>
      <c r="C62" s="6" t="s">
        <v>2</v>
      </c>
      <c r="G62" s="3">
        <v>0.57480906907096019</v>
      </c>
      <c r="H62" s="3">
        <v>0.6106038514606319</v>
      </c>
    </row>
    <row r="63" spans="1:8">
      <c r="A63" s="4" t="s">
        <v>77</v>
      </c>
      <c r="B63" s="4" t="s">
        <v>78</v>
      </c>
      <c r="C63" s="6" t="s">
        <v>2</v>
      </c>
      <c r="G63" s="3">
        <v>0.54982288107552113</v>
      </c>
      <c r="H63" s="3">
        <v>0.5959698872398369</v>
      </c>
    </row>
    <row r="64" spans="1:8">
      <c r="A64" s="4" t="s">
        <v>77</v>
      </c>
      <c r="B64" s="4" t="s">
        <v>76</v>
      </c>
      <c r="C64" s="6" t="s">
        <v>2</v>
      </c>
      <c r="G64" s="3">
        <v>0.5213573748343785</v>
      </c>
      <c r="H64" s="3">
        <v>0.56429994767442193</v>
      </c>
    </row>
    <row r="65" spans="1:9">
      <c r="A65" s="4" t="s">
        <v>74</v>
      </c>
      <c r="B65" s="4" t="s">
        <v>75</v>
      </c>
      <c r="C65" s="6" t="s">
        <v>2</v>
      </c>
      <c r="G65" s="3">
        <v>0.4825364218006909</v>
      </c>
      <c r="H65" s="3">
        <v>0.52394567654020818</v>
      </c>
    </row>
    <row r="66" spans="1:9">
      <c r="A66" s="4" t="s">
        <v>74</v>
      </c>
      <c r="B66" s="4" t="s">
        <v>73</v>
      </c>
      <c r="C66" s="6" t="s">
        <v>2</v>
      </c>
      <c r="G66" s="3">
        <v>0.46605590307478512</v>
      </c>
      <c r="H66" s="3">
        <v>0.5098906125745436</v>
      </c>
    </row>
    <row r="67" spans="1:9">
      <c r="A67" s="4" t="s">
        <v>72</v>
      </c>
      <c r="B67" s="4" t="s">
        <v>71</v>
      </c>
      <c r="C67" s="6" t="s">
        <v>2</v>
      </c>
      <c r="G67" s="3">
        <v>0.43627406023397725</v>
      </c>
      <c r="H67" s="3">
        <v>0.4757954799411781</v>
      </c>
    </row>
    <row r="68" spans="1:9">
      <c r="A68" s="4" t="s">
        <v>70</v>
      </c>
      <c r="B68" s="4" t="s">
        <v>69</v>
      </c>
      <c r="C68" s="6" t="s">
        <v>2</v>
      </c>
      <c r="G68" s="3">
        <v>0.40005767449709578</v>
      </c>
      <c r="H68" s="3">
        <v>0.43422468391005575</v>
      </c>
    </row>
    <row r="69" spans="1:9">
      <c r="A69" s="4" t="s">
        <v>68</v>
      </c>
      <c r="B69" s="4" t="s">
        <v>67</v>
      </c>
      <c r="C69" s="6" t="s">
        <v>2</v>
      </c>
      <c r="G69" s="3">
        <v>0.36529337917367455</v>
      </c>
      <c r="H69" s="3">
        <v>0.39186210365127833</v>
      </c>
    </row>
    <row r="70" spans="1:9">
      <c r="A70" s="4" t="s">
        <v>66</v>
      </c>
      <c r="B70" s="4" t="s">
        <v>65</v>
      </c>
      <c r="C70" s="6" t="s">
        <v>2</v>
      </c>
      <c r="G70" s="3">
        <v>0.33826030708064336</v>
      </c>
      <c r="H70" s="3">
        <v>0.36119918307861687</v>
      </c>
    </row>
    <row r="71" spans="1:9">
      <c r="A71" s="4" t="s">
        <v>64</v>
      </c>
      <c r="B71" s="4" t="s">
        <v>63</v>
      </c>
      <c r="C71" s="6" t="s">
        <v>2</v>
      </c>
      <c r="G71" s="3">
        <v>0.31600231803086987</v>
      </c>
      <c r="H71" s="3">
        <v>0.32690575202258687</v>
      </c>
    </row>
    <row r="72" spans="1:9">
      <c r="A72" s="4" t="s">
        <v>61</v>
      </c>
      <c r="B72" s="4" t="s">
        <v>62</v>
      </c>
      <c r="C72" s="6" t="s">
        <v>2</v>
      </c>
      <c r="G72" s="3">
        <v>0.29516264689389454</v>
      </c>
      <c r="H72" s="3">
        <v>0.30318670674011622</v>
      </c>
    </row>
    <row r="73" spans="1:9">
      <c r="A73" s="4" t="s">
        <v>61</v>
      </c>
      <c r="B73" s="4" t="s">
        <v>60</v>
      </c>
      <c r="C73" s="6" t="s">
        <v>2</v>
      </c>
      <c r="G73" s="3">
        <v>0.26718526252700847</v>
      </c>
      <c r="H73" s="3">
        <v>0.26739530046589605</v>
      </c>
    </row>
    <row r="74" spans="1:9">
      <c r="A74" s="4" t="s">
        <v>59</v>
      </c>
      <c r="B74" s="4" t="s">
        <v>58</v>
      </c>
      <c r="C74" s="6" t="s">
        <v>2</v>
      </c>
      <c r="G74" s="3">
        <v>0.24597063739799885</v>
      </c>
      <c r="H74" s="3">
        <v>0.23935594595234974</v>
      </c>
    </row>
    <row r="75" spans="1:9" ht="16">
      <c r="A75" s="4" t="s">
        <v>57</v>
      </c>
      <c r="B75" s="4" t="s">
        <v>56</v>
      </c>
      <c r="C75" s="6" t="s">
        <v>2</v>
      </c>
      <c r="G75" s="3">
        <v>0.62074252385243334</v>
      </c>
      <c r="H75" s="3">
        <v>0.60218627483257181</v>
      </c>
      <c r="I75" s="13" t="s">
        <v>55</v>
      </c>
    </row>
    <row r="76" spans="1:9">
      <c r="A76" s="4" t="s">
        <v>54</v>
      </c>
      <c r="B76" s="4" t="s">
        <v>53</v>
      </c>
      <c r="C76" s="6" t="s">
        <v>2</v>
      </c>
      <c r="G76" s="3">
        <v>0.27802101712230809</v>
      </c>
      <c r="H76" s="3">
        <v>0.23247465823458355</v>
      </c>
    </row>
    <row r="77" spans="1:9">
      <c r="A77" s="4" t="s">
        <v>51</v>
      </c>
      <c r="B77" s="4" t="s">
        <v>52</v>
      </c>
      <c r="C77" s="6" t="s">
        <v>2</v>
      </c>
      <c r="G77" s="3">
        <v>0.21130247513039738</v>
      </c>
      <c r="H77" s="3">
        <v>0.18285024369369685</v>
      </c>
    </row>
    <row r="78" spans="1:9">
      <c r="A78" s="4" t="s">
        <v>51</v>
      </c>
      <c r="B78" s="4" t="s">
        <v>50</v>
      </c>
      <c r="C78" s="6" t="s">
        <v>2</v>
      </c>
      <c r="G78" s="3">
        <v>0.16630513577835462</v>
      </c>
      <c r="H78" s="3">
        <v>0.14556372433330322</v>
      </c>
    </row>
    <row r="79" spans="1:9">
      <c r="A79" s="4" t="s">
        <v>49</v>
      </c>
      <c r="B79" s="4" t="s">
        <v>48</v>
      </c>
      <c r="C79" s="6" t="s">
        <v>2</v>
      </c>
      <c r="G79" s="3">
        <v>0.13793840777923463</v>
      </c>
      <c r="H79" s="3">
        <v>0.12268078676557261</v>
      </c>
    </row>
    <row r="80" spans="1:9">
      <c r="A80" s="4" t="s">
        <v>46</v>
      </c>
      <c r="B80" s="4" t="s">
        <v>47</v>
      </c>
      <c r="C80" s="6" t="s">
        <v>2</v>
      </c>
      <c r="G80" s="3">
        <v>0.13563749632113306</v>
      </c>
      <c r="H80" s="3">
        <v>0.11066511235155645</v>
      </c>
    </row>
    <row r="81" spans="1:8">
      <c r="A81" s="4" t="s">
        <v>46</v>
      </c>
      <c r="B81" s="4" t="s">
        <v>45</v>
      </c>
      <c r="C81" s="6" t="s">
        <v>2</v>
      </c>
      <c r="G81" s="3">
        <v>0.13860382770416271</v>
      </c>
      <c r="H81" s="3">
        <v>0.10686263043464637</v>
      </c>
    </row>
    <row r="82" spans="1:8">
      <c r="A82" s="4" t="s">
        <v>44</v>
      </c>
      <c r="B82" s="4" t="s">
        <v>43</v>
      </c>
      <c r="C82" s="6" t="s">
        <v>2</v>
      </c>
      <c r="G82" s="3">
        <v>0.12764729449350845</v>
      </c>
      <c r="H82" s="3">
        <v>9.9794744413128522E-2</v>
      </c>
    </row>
    <row r="85" spans="1:8" ht="16">
      <c r="A85" s="18" t="s">
        <v>184</v>
      </c>
      <c r="B85" s="19" t="s">
        <v>179</v>
      </c>
      <c r="C85" s="20" t="s">
        <v>185</v>
      </c>
    </row>
    <row r="86" spans="1:8">
      <c r="A86" s="19"/>
      <c r="B86" s="19" t="s">
        <v>180</v>
      </c>
      <c r="C86" s="20" t="s">
        <v>186</v>
      </c>
    </row>
    <row r="88" spans="1:8" ht="16">
      <c r="A88" s="18" t="s">
        <v>181</v>
      </c>
      <c r="B88" s="19" t="s">
        <v>179</v>
      </c>
      <c r="C88" s="20" t="s">
        <v>182</v>
      </c>
    </row>
    <row r="89" spans="1:8">
      <c r="A89" s="19"/>
      <c r="B89" s="19" t="s">
        <v>180</v>
      </c>
      <c r="C89" s="20" t="s">
        <v>183</v>
      </c>
    </row>
  </sheetData>
  <phoneticPr fontId="1" type="noConversion"/>
  <pageMargins left="0.78740157480314954" right="0.78740157480314954" top="1" bottom="1" header="0.5" footer="0.5"/>
  <pageSetup paperSize="0" orientation="landscape" horizontalDpi="0" verticalDpi="0" copies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8209-B301-7347-8810-9254C14E8B5F}">
  <dimension ref="A1:H28"/>
  <sheetViews>
    <sheetView topLeftCell="E2" zoomScale="150" workbookViewId="0">
      <selection activeCell="N30" sqref="N30:O31"/>
    </sheetView>
  </sheetViews>
  <sheetFormatPr baseColWidth="10" defaultColWidth="9" defaultRowHeight="14"/>
  <cols>
    <col min="1" max="1" width="12.83203125" style="12" customWidth="1"/>
    <col min="2" max="16384" width="9" style="12"/>
  </cols>
  <sheetData>
    <row r="1" spans="1:8">
      <c r="A1" s="12" t="s">
        <v>0</v>
      </c>
    </row>
    <row r="2" spans="1:8">
      <c r="A2" s="12" t="s">
        <v>31</v>
      </c>
      <c r="B2" s="12">
        <v>0</v>
      </c>
      <c r="C2" s="12">
        <f>0.01*20/6</f>
        <v>3.3333333333333333E-2</v>
      </c>
      <c r="D2" s="12">
        <f>0.025*20/6</f>
        <v>8.3333333333333329E-2</v>
      </c>
      <c r="E2" s="12">
        <f>0.05*20/6</f>
        <v>0.16666666666666666</v>
      </c>
      <c r="F2" s="12">
        <f>0.06*20/6</f>
        <v>0.19999999999999998</v>
      </c>
      <c r="G2" s="12">
        <f>0.08*20/6</f>
        <v>0.26666666666666666</v>
      </c>
      <c r="H2" s="12">
        <f>0.1*20/6</f>
        <v>0.33333333333333331</v>
      </c>
    </row>
    <row r="3" spans="1:8">
      <c r="A3" s="12" t="s">
        <v>32</v>
      </c>
      <c r="B3" s="12">
        <v>1E-4</v>
      </c>
      <c r="C3" s="12">
        <v>0.37</v>
      </c>
      <c r="D3" s="12">
        <v>0.58599999999999997</v>
      </c>
      <c r="E3" s="12">
        <v>1.2709999999999999</v>
      </c>
      <c r="F3" s="12">
        <v>1.431</v>
      </c>
      <c r="G3" s="12">
        <v>1.917</v>
      </c>
      <c r="H3" s="12">
        <v>2.3109999999999999</v>
      </c>
    </row>
    <row r="4" spans="1:8">
      <c r="A4" s="12" t="s">
        <v>33</v>
      </c>
      <c r="B4" s="12">
        <v>-1E-4</v>
      </c>
      <c r="C4" s="12">
        <v>5.0999999999999997E-2</v>
      </c>
      <c r="D4" s="12">
        <v>8.5000000000000006E-2</v>
      </c>
      <c r="E4" s="12">
        <v>0.185</v>
      </c>
      <c r="F4" s="12">
        <v>0.20799999999999999</v>
      </c>
      <c r="G4" s="12">
        <v>0.27800000000000002</v>
      </c>
      <c r="H4" s="12">
        <v>0.33200000000000002</v>
      </c>
    </row>
    <row r="26" spans="1:2">
      <c r="A26" s="12" t="s">
        <v>35</v>
      </c>
      <c r="B26" s="12" t="s">
        <v>36</v>
      </c>
    </row>
    <row r="27" spans="1:2">
      <c r="A27" s="12" t="s">
        <v>37</v>
      </c>
      <c r="B27" s="12">
        <v>85084</v>
      </c>
    </row>
    <row r="28" spans="1:2">
      <c r="A28" s="12" t="s">
        <v>38</v>
      </c>
      <c r="B28" s="12">
        <v>12312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zoomScale="92" zoomScaleNormal="108" workbookViewId="0">
      <selection activeCell="S21" sqref="S21"/>
    </sheetView>
  </sheetViews>
  <sheetFormatPr baseColWidth="10" defaultColWidth="9" defaultRowHeight="14"/>
  <cols>
    <col min="1" max="1" width="12.6640625" customWidth="1"/>
    <col min="2" max="2" width="11.33203125" customWidth="1"/>
  </cols>
  <sheetData>
    <row r="1" spans="1:10">
      <c r="A1" s="1" t="s">
        <v>1</v>
      </c>
      <c r="B1" s="1" t="s">
        <v>34</v>
      </c>
      <c r="D1" s="1"/>
    </row>
    <row r="2" spans="1:10">
      <c r="A2" s="12" t="s">
        <v>31</v>
      </c>
      <c r="B2">
        <v>0</v>
      </c>
      <c r="C2">
        <v>0.01</v>
      </c>
      <c r="D2">
        <v>1.7000000000000001E-2</v>
      </c>
      <c r="E2">
        <v>3.3000000000000002E-2</v>
      </c>
      <c r="F2">
        <v>0.05</v>
      </c>
      <c r="G2">
        <v>6.7000000000000004E-2</v>
      </c>
      <c r="H2">
        <v>8.3000000000000004E-2</v>
      </c>
    </row>
    <row r="3" spans="1:10">
      <c r="A3" s="12" t="s">
        <v>32</v>
      </c>
      <c r="B3">
        <v>0</v>
      </c>
      <c r="C3">
        <v>0.20899999999999999</v>
      </c>
      <c r="D3">
        <v>0.38700000000000001</v>
      </c>
      <c r="E3">
        <v>0.79600000000000004</v>
      </c>
      <c r="F3">
        <v>1.228</v>
      </c>
      <c r="G3">
        <v>1.4810000000000001</v>
      </c>
      <c r="H3">
        <v>1.726</v>
      </c>
      <c r="J3" s="1"/>
    </row>
    <row r="4" spans="1:10">
      <c r="A4" s="12" t="s">
        <v>33</v>
      </c>
      <c r="B4">
        <v>0</v>
      </c>
      <c r="C4">
        <v>0.32500000000000001</v>
      </c>
      <c r="D4">
        <v>0.57399999999999995</v>
      </c>
      <c r="E4">
        <v>1.21</v>
      </c>
      <c r="F4">
        <v>1.92</v>
      </c>
      <c r="G4">
        <v>2.3119999999999998</v>
      </c>
      <c r="H4">
        <v>2.6989999999999998</v>
      </c>
      <c r="J4" s="1"/>
    </row>
    <row r="25" spans="1:10">
      <c r="A25" s="1" t="s">
        <v>1</v>
      </c>
      <c r="B25" s="1" t="s">
        <v>25</v>
      </c>
      <c r="C25" s="1"/>
    </row>
    <row r="26" spans="1:10">
      <c r="A26" s="12" t="s">
        <v>31</v>
      </c>
      <c r="B26">
        <v>0</v>
      </c>
      <c r="C26">
        <v>0.01</v>
      </c>
      <c r="D26">
        <v>0.02</v>
      </c>
      <c r="E26">
        <v>2.5000000000000001E-2</v>
      </c>
      <c r="F26">
        <v>0.04</v>
      </c>
      <c r="G26">
        <v>0.05</v>
      </c>
    </row>
    <row r="27" spans="1:10">
      <c r="A27" s="12" t="s">
        <v>32</v>
      </c>
      <c r="B27">
        <v>0</v>
      </c>
      <c r="C27">
        <v>0.248</v>
      </c>
      <c r="D27">
        <v>0.41699999999999998</v>
      </c>
      <c r="E27">
        <v>0.58199999999999996</v>
      </c>
      <c r="F27">
        <v>0.85599999999999998</v>
      </c>
      <c r="G27">
        <v>1.171</v>
      </c>
      <c r="J27" s="1"/>
    </row>
    <row r="28" spans="1:10">
      <c r="A28" s="12" t="s">
        <v>33</v>
      </c>
      <c r="B28">
        <v>0</v>
      </c>
      <c r="C28">
        <v>0.48099999999999998</v>
      </c>
      <c r="D28">
        <v>0.75700000000000001</v>
      </c>
      <c r="E28">
        <v>1.0149999999999999</v>
      </c>
      <c r="F28">
        <v>1.4850000000000001</v>
      </c>
      <c r="G28">
        <v>0.39500000000000002</v>
      </c>
      <c r="J28" s="1"/>
    </row>
    <row r="49" spans="1:2">
      <c r="A49" s="12" t="s">
        <v>35</v>
      </c>
      <c r="B49" s="1" t="s">
        <v>39</v>
      </c>
    </row>
    <row r="50" spans="1:2">
      <c r="A50" s="12" t="s">
        <v>37</v>
      </c>
      <c r="B50">
        <v>10273</v>
      </c>
    </row>
    <row r="51" spans="1:2">
      <c r="A51" s="12" t="s">
        <v>38</v>
      </c>
      <c r="B51">
        <v>16122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1AA0-5D00-5847-8F30-2E952AF9405E}">
  <dimension ref="A1:I14"/>
  <sheetViews>
    <sheetView zoomScale="101" workbookViewId="0">
      <selection activeCell="G7" sqref="G7"/>
    </sheetView>
  </sheetViews>
  <sheetFormatPr baseColWidth="10" defaultRowHeight="13"/>
  <cols>
    <col min="1" max="8" width="10.83203125" style="2"/>
    <col min="9" max="9" width="21.1640625" style="2" customWidth="1"/>
    <col min="10" max="16384" width="10.83203125" style="2"/>
  </cols>
  <sheetData>
    <row r="1" spans="1:9">
      <c r="A1" s="7" t="s">
        <v>17</v>
      </c>
      <c r="B1" s="7" t="s">
        <v>16</v>
      </c>
      <c r="C1" s="7" t="s">
        <v>15</v>
      </c>
      <c r="D1" s="7" t="s">
        <v>14</v>
      </c>
      <c r="E1" s="7" t="s">
        <v>13</v>
      </c>
      <c r="F1" s="7" t="s">
        <v>12</v>
      </c>
      <c r="G1" s="7" t="s">
        <v>11</v>
      </c>
      <c r="H1" s="7" t="s">
        <v>10</v>
      </c>
    </row>
    <row r="2" spans="1:9">
      <c r="A2" s="4" t="s">
        <v>2</v>
      </c>
      <c r="B2" s="4" t="s">
        <v>2</v>
      </c>
      <c r="C2" s="4" t="s">
        <v>2</v>
      </c>
      <c r="D2" s="4" t="s">
        <v>9</v>
      </c>
      <c r="E2" s="4" t="s">
        <v>2</v>
      </c>
      <c r="F2" s="4" t="s">
        <v>8</v>
      </c>
      <c r="G2" s="4" t="s">
        <v>7</v>
      </c>
      <c r="H2" s="4" t="s">
        <v>6</v>
      </c>
    </row>
    <row r="3" spans="1:9">
      <c r="A3" s="4" t="s">
        <v>24</v>
      </c>
      <c r="B3" s="4" t="s">
        <v>5</v>
      </c>
      <c r="C3" s="6" t="s">
        <v>2</v>
      </c>
      <c r="D3" s="3"/>
      <c r="E3" s="5"/>
      <c r="F3" s="4"/>
      <c r="G3" s="3"/>
      <c r="H3" s="3"/>
    </row>
    <row r="4" spans="1:9" ht="142">
      <c r="A4" s="4" t="s">
        <v>23</v>
      </c>
      <c r="B4" s="4" t="s">
        <v>4</v>
      </c>
      <c r="C4" s="6" t="s">
        <v>2</v>
      </c>
      <c r="D4" s="3"/>
      <c r="E4" s="11" t="s">
        <v>22</v>
      </c>
      <c r="F4" s="4"/>
      <c r="G4" s="4" t="s">
        <v>21</v>
      </c>
      <c r="H4" s="4" t="s">
        <v>21</v>
      </c>
      <c r="I4" s="10" t="s">
        <v>20</v>
      </c>
    </row>
    <row r="5" spans="1:9" ht="16">
      <c r="A5" s="4" t="s">
        <v>19</v>
      </c>
      <c r="B5" s="4" t="s">
        <v>3</v>
      </c>
      <c r="C5" s="6" t="s">
        <v>2</v>
      </c>
      <c r="D5" s="3"/>
      <c r="E5" s="5"/>
      <c r="F5" s="4"/>
      <c r="G5" s="3">
        <v>0.79180849210150672</v>
      </c>
      <c r="H5" s="3">
        <v>0.33871955656091646</v>
      </c>
      <c r="I5" s="9" t="s">
        <v>18</v>
      </c>
    </row>
    <row r="6" spans="1:9" ht="16">
      <c r="G6" s="2">
        <v>0.76900000000000002</v>
      </c>
      <c r="H6" s="2">
        <v>0.48699999999999999</v>
      </c>
      <c r="I6" s="9" t="s">
        <v>187</v>
      </c>
    </row>
    <row r="7" spans="1:9" ht="16">
      <c r="G7" s="2">
        <v>1.171</v>
      </c>
      <c r="H7" s="2">
        <v>0.39500000000000002</v>
      </c>
      <c r="I7" s="9" t="s">
        <v>188</v>
      </c>
    </row>
    <row r="8" spans="1:9">
      <c r="I8" s="8"/>
    </row>
    <row r="9" spans="1:9">
      <c r="I9" s="8"/>
    </row>
    <row r="10" spans="1:9">
      <c r="I10" s="8"/>
    </row>
    <row r="11" spans="1:9" ht="16">
      <c r="A11" s="18" t="s">
        <v>184</v>
      </c>
      <c r="B11" s="19" t="s">
        <v>179</v>
      </c>
      <c r="C11" s="20" t="s">
        <v>185</v>
      </c>
      <c r="I11" s="8"/>
    </row>
    <row r="12" spans="1:9">
      <c r="A12" s="19"/>
      <c r="B12" s="19" t="s">
        <v>180</v>
      </c>
      <c r="C12" s="20" t="s">
        <v>186</v>
      </c>
      <c r="I12" s="8"/>
    </row>
    <row r="13" spans="1:9">
      <c r="A13" s="4"/>
      <c r="B13" s="4"/>
      <c r="C13" s="6"/>
      <c r="I13" s="8"/>
    </row>
    <row r="14" spans="1:9">
      <c r="I14" s="8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F7D8-E026-A146-BBA3-44E4D8BEEA5B}">
  <dimension ref="A1:E10"/>
  <sheetViews>
    <sheetView tabSelected="1" workbookViewId="0">
      <selection activeCell="H9" sqref="H9"/>
    </sheetView>
  </sheetViews>
  <sheetFormatPr baseColWidth="10" defaultRowHeight="14"/>
  <cols>
    <col min="1" max="1" width="10.83203125" customWidth="1"/>
    <col min="2" max="2" width="20.1640625" customWidth="1"/>
    <col min="3" max="3" width="27.5" customWidth="1"/>
  </cols>
  <sheetData>
    <row r="1" spans="1:5" ht="16">
      <c r="A1" s="21" t="s">
        <v>194</v>
      </c>
      <c r="B1" s="21" t="s">
        <v>189</v>
      </c>
      <c r="C1" s="21" t="s">
        <v>190</v>
      </c>
    </row>
    <row r="2" spans="1:5" ht="16">
      <c r="A2" s="22" t="s">
        <v>191</v>
      </c>
      <c r="B2" s="23">
        <v>0.1</v>
      </c>
      <c r="C2" s="23">
        <v>9.2469999999999997E-2</v>
      </c>
      <c r="E2" cm="1">
        <f t="array" ref="E2:E10">(C2:C10)/B2:B10</f>
        <v>0.92469999999999997</v>
      </c>
    </row>
    <row r="3" spans="1:5" ht="16">
      <c r="A3" s="22" t="s">
        <v>192</v>
      </c>
      <c r="B3" s="23">
        <v>6.7000000000000004E-2</v>
      </c>
      <c r="C3" s="23">
        <v>7.3636999999999994E-2</v>
      </c>
      <c r="E3">
        <v>1.0990597014925372</v>
      </c>
    </row>
    <row r="4" spans="1:5" ht="16">
      <c r="A4" s="22" t="s">
        <v>193</v>
      </c>
      <c r="B4" s="23">
        <v>0.13300000000000001</v>
      </c>
      <c r="C4" s="23">
        <v>0.14758599999999999</v>
      </c>
      <c r="E4">
        <v>1.1096691729323307</v>
      </c>
    </row>
    <row r="5" spans="1:5">
      <c r="E5" t="e">
        <v>#DIV/0!</v>
      </c>
    </row>
    <row r="6" spans="1:5">
      <c r="E6" t="e">
        <v>#DIV/0!</v>
      </c>
    </row>
    <row r="7" spans="1:5" ht="16">
      <c r="A7" s="22" t="s">
        <v>180</v>
      </c>
      <c r="E7" t="e">
        <v>#DIV/0!</v>
      </c>
    </row>
    <row r="8" spans="1:5" ht="16">
      <c r="A8" s="22" t="s">
        <v>191</v>
      </c>
      <c r="B8" s="23">
        <v>0.01</v>
      </c>
      <c r="C8" s="23">
        <v>7.3289999999999996E-3</v>
      </c>
      <c r="E8">
        <v>0.7329</v>
      </c>
    </row>
    <row r="9" spans="1:5" ht="16">
      <c r="A9" s="22" t="s">
        <v>192</v>
      </c>
      <c r="B9" s="23">
        <v>1.3299999999999999E-2</v>
      </c>
      <c r="C9" s="23">
        <v>1.2271000000000001E-2</v>
      </c>
      <c r="E9">
        <v>0.92263157894736847</v>
      </c>
    </row>
    <row r="10" spans="1:5" ht="16">
      <c r="A10" s="22" t="s">
        <v>193</v>
      </c>
      <c r="B10" s="23">
        <v>6.7000000000000002E-3</v>
      </c>
      <c r="C10" s="23">
        <v>7.3670000000000003E-3</v>
      </c>
      <c r="E10">
        <v>1.0995522388059702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zoomScale="113" workbookViewId="0">
      <selection activeCell="B11" sqref="B11"/>
    </sheetView>
  </sheetViews>
  <sheetFormatPr baseColWidth="10" defaultColWidth="9" defaultRowHeight="14"/>
  <cols>
    <col min="2" max="2" width="18.1640625" customWidth="1"/>
    <col min="3" max="3" width="25.33203125" customWidth="1"/>
  </cols>
  <sheetData>
    <row r="1" spans="1:5">
      <c r="B1" s="1" t="s">
        <v>26</v>
      </c>
      <c r="C1" s="1" t="s">
        <v>30</v>
      </c>
      <c r="E1" s="1" t="s">
        <v>28</v>
      </c>
    </row>
    <row r="2" spans="1:5">
      <c r="B2">
        <v>120.8</v>
      </c>
      <c r="C2">
        <v>3404</v>
      </c>
      <c r="E2" s="1" t="s">
        <v>29</v>
      </c>
    </row>
    <row r="3" spans="1:5">
      <c r="B3">
        <v>111.6</v>
      </c>
    </row>
    <row r="4" spans="1:5">
      <c r="B4">
        <v>128.6</v>
      </c>
    </row>
    <row r="5" spans="1:5">
      <c r="B5">
        <v>90.8</v>
      </c>
    </row>
    <row r="6" spans="1:5">
      <c r="B6">
        <v>98.4</v>
      </c>
    </row>
    <row r="7" spans="1:5">
      <c r="A7" s="1" t="s">
        <v>27</v>
      </c>
      <c r="B7">
        <f>AVERAGE(B2:B6)</f>
        <v>110.04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洗脱液吸光值</vt:lpstr>
      <vt:lpstr>原始记录_洗脱液吸光值 </vt:lpstr>
      <vt:lpstr>cytc标准曲线</vt:lpstr>
      <vt:lpstr>核黄素磷酸钠标准曲线</vt:lpstr>
      <vt:lpstr>不同配比母液吸光值</vt:lpstr>
      <vt:lpstr>双波长法合理性检验</vt:lpstr>
      <vt:lpstr>一个孔内液体体积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怡 董</cp:lastModifiedBy>
  <dcterms:created xsi:type="dcterms:W3CDTF">2023-05-12T11:15:00Z</dcterms:created>
  <dcterms:modified xsi:type="dcterms:W3CDTF">2026-05-31T06:11:56Z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